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p\OneDrive - BUET Khuzdar\Desktop\"/>
    </mc:Choice>
  </mc:AlternateContent>
  <bookViews>
    <workbookView xWindow="0" yWindow="0" windowWidth="19200" windowHeight="7150" activeTab="2"/>
  </bookViews>
  <sheets>
    <sheet name="Feb-25" sheetId="49" r:id="rId1"/>
    <sheet name="Mar-25" sheetId="48" r:id="rId2"/>
    <sheet name="Apr-25" sheetId="47" r:id="rId3"/>
    <sheet name="May-25" sheetId="50" r:id="rId4"/>
    <sheet name="June-25" sheetId="51" r:id="rId5"/>
    <sheet name="Overall" sheetId="52" r:id="rId6"/>
  </sheets>
  <definedNames>
    <definedName name="_xlnm.Print_Area" localSheetId="2">'Apr-25'!$A$1:$I$84</definedName>
    <definedName name="_xlnm.Print_Area" localSheetId="0">'Feb-25'!$A$1:$I$76</definedName>
    <definedName name="_xlnm.Print_Area" localSheetId="4">'June-25'!$A$1:$I$84</definedName>
    <definedName name="_xlnm.Print_Area" localSheetId="1">'Mar-25'!$A$1:$J$76</definedName>
    <definedName name="_xlnm.Print_Area" localSheetId="3">'May-25'!$A$1:$H$84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8" i="52" l="1"/>
  <c r="H67" i="52"/>
  <c r="H66" i="52"/>
  <c r="H65" i="52"/>
  <c r="H64" i="52"/>
  <c r="H63" i="52"/>
  <c r="H62" i="52"/>
  <c r="H61" i="52"/>
  <c r="H60" i="52"/>
  <c r="H59" i="52"/>
  <c r="H58" i="52"/>
  <c r="H57" i="52"/>
  <c r="H56" i="52"/>
  <c r="H55" i="52"/>
  <c r="H54" i="52"/>
  <c r="H53" i="52"/>
  <c r="H52" i="52"/>
  <c r="H51" i="52"/>
  <c r="H50" i="52"/>
  <c r="H49" i="52"/>
  <c r="H48" i="52"/>
  <c r="H47" i="52"/>
  <c r="H46" i="52"/>
  <c r="H45" i="52"/>
  <c r="H44" i="52"/>
  <c r="H43" i="52"/>
  <c r="H42" i="52"/>
  <c r="H41" i="52"/>
  <c r="H40" i="52"/>
  <c r="H39" i="52"/>
  <c r="H38" i="52"/>
  <c r="H37" i="52"/>
  <c r="H36" i="52"/>
  <c r="H35" i="52"/>
  <c r="H34" i="52"/>
  <c r="H33" i="52"/>
  <c r="H32" i="52"/>
  <c r="H31" i="52"/>
  <c r="H30" i="52"/>
  <c r="H29" i="52"/>
  <c r="H28" i="52"/>
  <c r="H27" i="52"/>
  <c r="H26" i="52"/>
  <c r="H25" i="52"/>
  <c r="H24" i="52"/>
  <c r="H23" i="52"/>
  <c r="H22" i="52"/>
  <c r="H21" i="52"/>
  <c r="H20" i="52"/>
  <c r="H19" i="52"/>
  <c r="H18" i="52"/>
  <c r="H17" i="52"/>
  <c r="H16" i="52"/>
  <c r="H15" i="52"/>
  <c r="H14" i="52"/>
  <c r="H13" i="52"/>
  <c r="H12" i="52"/>
  <c r="H11" i="52"/>
  <c r="H10" i="52"/>
  <c r="H9" i="52"/>
  <c r="D8" i="52"/>
  <c r="H8" i="52"/>
  <c r="I8" i="52" s="1"/>
  <c r="G8" i="52"/>
  <c r="F8" i="52"/>
  <c r="E8" i="52"/>
  <c r="G11" i="49"/>
  <c r="K8" i="52" l="1"/>
  <c r="H12" i="51" l="1"/>
  <c r="H13" i="51"/>
  <c r="H14" i="51"/>
  <c r="H15" i="51"/>
  <c r="H16" i="51"/>
  <c r="H17" i="51"/>
  <c r="H18" i="51"/>
  <c r="H19" i="51"/>
  <c r="H20" i="51"/>
  <c r="H21" i="51"/>
  <c r="H22" i="51"/>
  <c r="H23" i="51"/>
  <c r="H24" i="51"/>
  <c r="H25" i="51"/>
  <c r="H26" i="51"/>
  <c r="H27" i="51"/>
  <c r="H28" i="51"/>
  <c r="H29" i="51"/>
  <c r="H30" i="51"/>
  <c r="H31" i="51"/>
  <c r="H32" i="51"/>
  <c r="H33" i="51"/>
  <c r="H34" i="51"/>
  <c r="H35" i="51"/>
  <c r="H36" i="51"/>
  <c r="H37" i="51"/>
  <c r="H38" i="51"/>
  <c r="H39" i="51"/>
  <c r="H40" i="51"/>
  <c r="H41" i="51"/>
  <c r="H42" i="51"/>
  <c r="H43" i="51"/>
  <c r="H44" i="51"/>
  <c r="H45" i="51"/>
  <c r="H46" i="51"/>
  <c r="H47" i="51"/>
  <c r="H48" i="51"/>
  <c r="H49" i="51"/>
  <c r="H50" i="51"/>
  <c r="H51" i="51"/>
  <c r="H52" i="51"/>
  <c r="H53" i="51"/>
  <c r="H54" i="51"/>
  <c r="H55" i="51"/>
  <c r="H56" i="51"/>
  <c r="H57" i="51"/>
  <c r="H58" i="51"/>
  <c r="H59" i="51"/>
  <c r="H60" i="51"/>
  <c r="H61" i="51"/>
  <c r="H62" i="51"/>
  <c r="H63" i="51"/>
  <c r="H64" i="51"/>
  <c r="H65" i="51"/>
  <c r="H66" i="51"/>
  <c r="H67" i="51"/>
  <c r="H68" i="51"/>
  <c r="H69" i="51"/>
  <c r="H70" i="51"/>
  <c r="H71" i="51"/>
  <c r="H11" i="51"/>
  <c r="H12" i="50"/>
  <c r="G9" i="52" s="1"/>
  <c r="H13" i="50"/>
  <c r="G10" i="52" s="1"/>
  <c r="H14" i="50"/>
  <c r="G11" i="52" s="1"/>
  <c r="H15" i="50"/>
  <c r="G12" i="52" s="1"/>
  <c r="H16" i="50"/>
  <c r="G13" i="52" s="1"/>
  <c r="H17" i="50"/>
  <c r="G14" i="52" s="1"/>
  <c r="H18" i="50"/>
  <c r="G15" i="52" s="1"/>
  <c r="H19" i="50"/>
  <c r="G16" i="52" s="1"/>
  <c r="H20" i="50"/>
  <c r="G17" i="52" s="1"/>
  <c r="H21" i="50"/>
  <c r="G18" i="52" s="1"/>
  <c r="H22" i="50"/>
  <c r="G19" i="52" s="1"/>
  <c r="H23" i="50"/>
  <c r="G20" i="52" s="1"/>
  <c r="H24" i="50"/>
  <c r="G21" i="52" s="1"/>
  <c r="H25" i="50"/>
  <c r="G22" i="52" s="1"/>
  <c r="H26" i="50"/>
  <c r="G23" i="52" s="1"/>
  <c r="H27" i="50"/>
  <c r="G24" i="52" s="1"/>
  <c r="H28" i="50"/>
  <c r="G25" i="52" s="1"/>
  <c r="H29" i="50"/>
  <c r="G26" i="52" s="1"/>
  <c r="H30" i="50"/>
  <c r="G27" i="52" s="1"/>
  <c r="H31" i="50"/>
  <c r="G28" i="52" s="1"/>
  <c r="H32" i="50"/>
  <c r="G29" i="52" s="1"/>
  <c r="H33" i="50"/>
  <c r="G30" i="52" s="1"/>
  <c r="H34" i="50"/>
  <c r="G31" i="52" s="1"/>
  <c r="H35" i="50"/>
  <c r="G32" i="52" s="1"/>
  <c r="H36" i="50"/>
  <c r="G33" i="52" s="1"/>
  <c r="H37" i="50"/>
  <c r="G34" i="52" s="1"/>
  <c r="H38" i="50"/>
  <c r="G35" i="52" s="1"/>
  <c r="H39" i="50"/>
  <c r="G36" i="52" s="1"/>
  <c r="H40" i="50"/>
  <c r="G37" i="52" s="1"/>
  <c r="H41" i="50"/>
  <c r="G38" i="52" s="1"/>
  <c r="H42" i="50"/>
  <c r="G39" i="52" s="1"/>
  <c r="H43" i="50"/>
  <c r="G40" i="52" s="1"/>
  <c r="H44" i="50"/>
  <c r="G41" i="52" s="1"/>
  <c r="H45" i="50"/>
  <c r="G42" i="52" s="1"/>
  <c r="H46" i="50"/>
  <c r="G43" i="52" s="1"/>
  <c r="H47" i="50"/>
  <c r="G44" i="52" s="1"/>
  <c r="H48" i="50"/>
  <c r="G45" i="52" s="1"/>
  <c r="H49" i="50"/>
  <c r="G46" i="52" s="1"/>
  <c r="H50" i="50"/>
  <c r="G47" i="52" s="1"/>
  <c r="H51" i="50"/>
  <c r="G48" i="52" s="1"/>
  <c r="H52" i="50"/>
  <c r="G49" i="52" s="1"/>
  <c r="H53" i="50"/>
  <c r="G50" i="52" s="1"/>
  <c r="H54" i="50"/>
  <c r="G51" i="52" s="1"/>
  <c r="H55" i="50"/>
  <c r="G52" i="52" s="1"/>
  <c r="H56" i="50"/>
  <c r="G53" i="52" s="1"/>
  <c r="H57" i="50"/>
  <c r="G54" i="52" s="1"/>
  <c r="H58" i="50"/>
  <c r="G55" i="52" s="1"/>
  <c r="H59" i="50"/>
  <c r="G56" i="52" s="1"/>
  <c r="H60" i="50"/>
  <c r="G57" i="52" s="1"/>
  <c r="H61" i="50"/>
  <c r="G58" i="52" s="1"/>
  <c r="H62" i="50"/>
  <c r="G59" i="52" s="1"/>
  <c r="H63" i="50"/>
  <c r="G60" i="52" s="1"/>
  <c r="H64" i="50"/>
  <c r="G61" i="52" s="1"/>
  <c r="H65" i="50"/>
  <c r="G62" i="52" s="1"/>
  <c r="H66" i="50"/>
  <c r="G63" i="52" s="1"/>
  <c r="H67" i="50"/>
  <c r="G64" i="52" s="1"/>
  <c r="H68" i="50"/>
  <c r="G65" i="52" s="1"/>
  <c r="H69" i="50"/>
  <c r="G66" i="52" s="1"/>
  <c r="H70" i="50"/>
  <c r="G67" i="52" s="1"/>
  <c r="H71" i="50"/>
  <c r="G68" i="52" s="1"/>
  <c r="H11" i="50"/>
  <c r="I12" i="47"/>
  <c r="F9" i="52" s="1"/>
  <c r="I13" i="47"/>
  <c r="F10" i="52" s="1"/>
  <c r="I14" i="47"/>
  <c r="F11" i="52" s="1"/>
  <c r="I15" i="47"/>
  <c r="F12" i="52" s="1"/>
  <c r="I16" i="47"/>
  <c r="F13" i="52" s="1"/>
  <c r="I17" i="47"/>
  <c r="F14" i="52" s="1"/>
  <c r="I18" i="47"/>
  <c r="F15" i="52" s="1"/>
  <c r="I19" i="47"/>
  <c r="F16" i="52" s="1"/>
  <c r="I20" i="47"/>
  <c r="F17" i="52" s="1"/>
  <c r="I21" i="47"/>
  <c r="F18" i="52" s="1"/>
  <c r="I22" i="47"/>
  <c r="F19" i="52" s="1"/>
  <c r="I23" i="47"/>
  <c r="F20" i="52" s="1"/>
  <c r="I24" i="47"/>
  <c r="F21" i="52" s="1"/>
  <c r="I25" i="47"/>
  <c r="F22" i="52" s="1"/>
  <c r="I26" i="47"/>
  <c r="F23" i="52" s="1"/>
  <c r="I27" i="47"/>
  <c r="F24" i="52" s="1"/>
  <c r="I28" i="47"/>
  <c r="F25" i="52" s="1"/>
  <c r="I29" i="47"/>
  <c r="F26" i="52" s="1"/>
  <c r="I30" i="47"/>
  <c r="F27" i="52" s="1"/>
  <c r="I31" i="47"/>
  <c r="F28" i="52" s="1"/>
  <c r="I32" i="47"/>
  <c r="F29" i="52" s="1"/>
  <c r="I33" i="47"/>
  <c r="F30" i="52" s="1"/>
  <c r="I34" i="47"/>
  <c r="F31" i="52" s="1"/>
  <c r="I35" i="47"/>
  <c r="F32" i="52" s="1"/>
  <c r="I36" i="47"/>
  <c r="F33" i="52" s="1"/>
  <c r="I37" i="47"/>
  <c r="F34" i="52" s="1"/>
  <c r="I38" i="47"/>
  <c r="F35" i="52" s="1"/>
  <c r="I39" i="47"/>
  <c r="F36" i="52" s="1"/>
  <c r="I40" i="47"/>
  <c r="F37" i="52" s="1"/>
  <c r="I41" i="47"/>
  <c r="F38" i="52" s="1"/>
  <c r="I42" i="47"/>
  <c r="F39" i="52" s="1"/>
  <c r="I43" i="47"/>
  <c r="F40" i="52" s="1"/>
  <c r="I44" i="47"/>
  <c r="F41" i="52" s="1"/>
  <c r="I45" i="47"/>
  <c r="F42" i="52" s="1"/>
  <c r="I46" i="47"/>
  <c r="F43" i="52" s="1"/>
  <c r="I47" i="47"/>
  <c r="F44" i="52" s="1"/>
  <c r="I48" i="47"/>
  <c r="F45" i="52" s="1"/>
  <c r="I49" i="47"/>
  <c r="F46" i="52" s="1"/>
  <c r="I50" i="47"/>
  <c r="F47" i="52" s="1"/>
  <c r="I51" i="47"/>
  <c r="F48" i="52" s="1"/>
  <c r="I52" i="47"/>
  <c r="F49" i="52" s="1"/>
  <c r="I53" i="47"/>
  <c r="F50" i="52" s="1"/>
  <c r="I54" i="47"/>
  <c r="F51" i="52" s="1"/>
  <c r="I55" i="47"/>
  <c r="F52" i="52" s="1"/>
  <c r="I56" i="47"/>
  <c r="F53" i="52" s="1"/>
  <c r="I57" i="47"/>
  <c r="F54" i="52" s="1"/>
  <c r="I58" i="47"/>
  <c r="F55" i="52" s="1"/>
  <c r="I59" i="47"/>
  <c r="F56" i="52" s="1"/>
  <c r="I60" i="47"/>
  <c r="F57" i="52" s="1"/>
  <c r="I61" i="47"/>
  <c r="F58" i="52" s="1"/>
  <c r="I62" i="47"/>
  <c r="F59" i="52" s="1"/>
  <c r="I63" i="47"/>
  <c r="F60" i="52" s="1"/>
  <c r="I64" i="47"/>
  <c r="F61" i="52" s="1"/>
  <c r="I65" i="47"/>
  <c r="F62" i="52" s="1"/>
  <c r="I66" i="47"/>
  <c r="F63" i="52" s="1"/>
  <c r="I67" i="47"/>
  <c r="F64" i="52" s="1"/>
  <c r="I68" i="47"/>
  <c r="F65" i="52" s="1"/>
  <c r="I69" i="47"/>
  <c r="F66" i="52" s="1"/>
  <c r="I70" i="47"/>
  <c r="F67" i="52" s="1"/>
  <c r="I71" i="47"/>
  <c r="F68" i="52" s="1"/>
  <c r="I11" i="47"/>
  <c r="I12" i="48"/>
  <c r="E9" i="52" s="1"/>
  <c r="I13" i="48"/>
  <c r="E10" i="52" s="1"/>
  <c r="I14" i="48"/>
  <c r="E11" i="52" s="1"/>
  <c r="I15" i="48"/>
  <c r="E12" i="52" s="1"/>
  <c r="I16" i="48"/>
  <c r="E13" i="52" s="1"/>
  <c r="I17" i="48"/>
  <c r="E14" i="52" s="1"/>
  <c r="I18" i="48"/>
  <c r="E15" i="52" s="1"/>
  <c r="I19" i="48"/>
  <c r="E16" i="52" s="1"/>
  <c r="I20" i="48"/>
  <c r="E17" i="52" s="1"/>
  <c r="I21" i="48"/>
  <c r="E18" i="52" s="1"/>
  <c r="I22" i="48"/>
  <c r="E19" i="52" s="1"/>
  <c r="I23" i="48"/>
  <c r="E20" i="52" s="1"/>
  <c r="I24" i="48"/>
  <c r="E21" i="52" s="1"/>
  <c r="I25" i="48"/>
  <c r="E22" i="52" s="1"/>
  <c r="I26" i="48"/>
  <c r="E23" i="52" s="1"/>
  <c r="I27" i="48"/>
  <c r="E24" i="52" s="1"/>
  <c r="I28" i="48"/>
  <c r="E25" i="52" s="1"/>
  <c r="I29" i="48"/>
  <c r="E26" i="52" s="1"/>
  <c r="I30" i="48"/>
  <c r="E27" i="52" s="1"/>
  <c r="I31" i="48"/>
  <c r="E28" i="52" s="1"/>
  <c r="I32" i="48"/>
  <c r="E29" i="52" s="1"/>
  <c r="I33" i="48"/>
  <c r="E30" i="52" s="1"/>
  <c r="I34" i="48"/>
  <c r="E31" i="52" s="1"/>
  <c r="I35" i="48"/>
  <c r="E32" i="52" s="1"/>
  <c r="I36" i="48"/>
  <c r="E33" i="52" s="1"/>
  <c r="I37" i="48"/>
  <c r="E34" i="52" s="1"/>
  <c r="I38" i="48"/>
  <c r="E35" i="52" s="1"/>
  <c r="I39" i="48"/>
  <c r="E36" i="52" s="1"/>
  <c r="I40" i="48"/>
  <c r="E37" i="52" s="1"/>
  <c r="I41" i="48"/>
  <c r="E38" i="52" s="1"/>
  <c r="I42" i="48"/>
  <c r="E39" i="52" s="1"/>
  <c r="I43" i="48"/>
  <c r="E40" i="52" s="1"/>
  <c r="I44" i="48"/>
  <c r="E41" i="52" s="1"/>
  <c r="I45" i="48"/>
  <c r="E42" i="52" s="1"/>
  <c r="I46" i="48"/>
  <c r="E43" i="52" s="1"/>
  <c r="I47" i="48"/>
  <c r="E44" i="52" s="1"/>
  <c r="I48" i="48"/>
  <c r="E45" i="52" s="1"/>
  <c r="I49" i="48"/>
  <c r="E46" i="52" s="1"/>
  <c r="I50" i="48"/>
  <c r="E47" i="52" s="1"/>
  <c r="I51" i="48"/>
  <c r="E48" i="52" s="1"/>
  <c r="I52" i="48"/>
  <c r="E49" i="52" s="1"/>
  <c r="I53" i="48"/>
  <c r="E50" i="52" s="1"/>
  <c r="I54" i="48"/>
  <c r="E51" i="52" s="1"/>
  <c r="I55" i="48"/>
  <c r="E52" i="52" s="1"/>
  <c r="I56" i="48"/>
  <c r="E53" i="52" s="1"/>
  <c r="I57" i="48"/>
  <c r="E54" i="52" s="1"/>
  <c r="I58" i="48"/>
  <c r="E55" i="52" s="1"/>
  <c r="I59" i="48"/>
  <c r="E56" i="52" s="1"/>
  <c r="I60" i="48"/>
  <c r="E57" i="52" s="1"/>
  <c r="I61" i="48"/>
  <c r="E58" i="52" s="1"/>
  <c r="I62" i="48"/>
  <c r="E59" i="52" s="1"/>
  <c r="I63" i="48"/>
  <c r="E60" i="52" s="1"/>
  <c r="I64" i="48"/>
  <c r="E61" i="52" s="1"/>
  <c r="I65" i="48"/>
  <c r="E62" i="52" s="1"/>
  <c r="I66" i="48"/>
  <c r="E63" i="52" s="1"/>
  <c r="I67" i="48"/>
  <c r="E64" i="52" s="1"/>
  <c r="I68" i="48"/>
  <c r="E65" i="52" s="1"/>
  <c r="I69" i="48"/>
  <c r="E66" i="52" s="1"/>
  <c r="I70" i="48"/>
  <c r="E67" i="52" s="1"/>
  <c r="I71" i="48"/>
  <c r="E68" i="52" s="1"/>
  <c r="I11" i="48"/>
  <c r="G12" i="49"/>
  <c r="D9" i="52" s="1"/>
  <c r="G13" i="49"/>
  <c r="D10" i="52" s="1"/>
  <c r="G14" i="49"/>
  <c r="D11" i="52" s="1"/>
  <c r="G15" i="49"/>
  <c r="D12" i="52" s="1"/>
  <c r="G16" i="49"/>
  <c r="D13" i="52" s="1"/>
  <c r="G17" i="49"/>
  <c r="D14" i="52" s="1"/>
  <c r="G18" i="49"/>
  <c r="D15" i="52" s="1"/>
  <c r="G19" i="49"/>
  <c r="D16" i="52" s="1"/>
  <c r="G20" i="49"/>
  <c r="D17" i="52" s="1"/>
  <c r="G21" i="49"/>
  <c r="D18" i="52" s="1"/>
  <c r="G22" i="49"/>
  <c r="D19" i="52" s="1"/>
  <c r="G23" i="49"/>
  <c r="D20" i="52" s="1"/>
  <c r="G24" i="49"/>
  <c r="D21" i="52" s="1"/>
  <c r="G25" i="49"/>
  <c r="D22" i="52" s="1"/>
  <c r="G26" i="49"/>
  <c r="D23" i="52" s="1"/>
  <c r="G27" i="49"/>
  <c r="D24" i="52" s="1"/>
  <c r="G28" i="49"/>
  <c r="D25" i="52" s="1"/>
  <c r="G29" i="49"/>
  <c r="D26" i="52" s="1"/>
  <c r="G30" i="49"/>
  <c r="D27" i="52" s="1"/>
  <c r="G31" i="49"/>
  <c r="D28" i="52" s="1"/>
  <c r="G32" i="49"/>
  <c r="D29" i="52" s="1"/>
  <c r="G33" i="49"/>
  <c r="D30" i="52" s="1"/>
  <c r="G34" i="49"/>
  <c r="D31" i="52" s="1"/>
  <c r="G35" i="49"/>
  <c r="D32" i="52" s="1"/>
  <c r="G36" i="49"/>
  <c r="D33" i="52" s="1"/>
  <c r="G37" i="49"/>
  <c r="D34" i="52" s="1"/>
  <c r="G38" i="49"/>
  <c r="D35" i="52" s="1"/>
  <c r="G39" i="49"/>
  <c r="D36" i="52" s="1"/>
  <c r="G40" i="49"/>
  <c r="D37" i="52" s="1"/>
  <c r="G41" i="49"/>
  <c r="D38" i="52" s="1"/>
  <c r="G42" i="49"/>
  <c r="D39" i="52" s="1"/>
  <c r="G43" i="49"/>
  <c r="D40" i="52" s="1"/>
  <c r="G44" i="49"/>
  <c r="D41" i="52" s="1"/>
  <c r="G45" i="49"/>
  <c r="D42" i="52" s="1"/>
  <c r="G46" i="49"/>
  <c r="D43" i="52" s="1"/>
  <c r="G47" i="49"/>
  <c r="D44" i="52" s="1"/>
  <c r="G48" i="49"/>
  <c r="D45" i="52" s="1"/>
  <c r="G49" i="49"/>
  <c r="D46" i="52" s="1"/>
  <c r="G50" i="49"/>
  <c r="D47" i="52" s="1"/>
  <c r="G51" i="49"/>
  <c r="D48" i="52" s="1"/>
  <c r="G52" i="49"/>
  <c r="D49" i="52" s="1"/>
  <c r="G53" i="49"/>
  <c r="D50" i="52" s="1"/>
  <c r="G54" i="49"/>
  <c r="D51" i="52" s="1"/>
  <c r="G55" i="49"/>
  <c r="D52" i="52" s="1"/>
  <c r="G56" i="49"/>
  <c r="D53" i="52" s="1"/>
  <c r="G57" i="49"/>
  <c r="D54" i="52" s="1"/>
  <c r="G58" i="49"/>
  <c r="D55" i="52" s="1"/>
  <c r="G59" i="49"/>
  <c r="D56" i="52" s="1"/>
  <c r="G60" i="49"/>
  <c r="D57" i="52" s="1"/>
  <c r="G61" i="49"/>
  <c r="D58" i="52" s="1"/>
  <c r="G62" i="49"/>
  <c r="D59" i="52" s="1"/>
  <c r="G63" i="49"/>
  <c r="D60" i="52" s="1"/>
  <c r="G64" i="49"/>
  <c r="D61" i="52" s="1"/>
  <c r="G65" i="49"/>
  <c r="D62" i="52" s="1"/>
  <c r="G66" i="49"/>
  <c r="D63" i="52" s="1"/>
  <c r="I63" i="52" s="1"/>
  <c r="K63" i="52" s="1"/>
  <c r="G67" i="49"/>
  <c r="D64" i="52" s="1"/>
  <c r="I64" i="52" s="1"/>
  <c r="K64" i="52" s="1"/>
  <c r="G68" i="49"/>
  <c r="D65" i="52" s="1"/>
  <c r="G69" i="49"/>
  <c r="D66" i="52" s="1"/>
  <c r="G70" i="49"/>
  <c r="D67" i="52" s="1"/>
  <c r="I67" i="52" s="1"/>
  <c r="K67" i="52" s="1"/>
  <c r="G71" i="49"/>
  <c r="D68" i="52" s="1"/>
  <c r="I43" i="52" l="1"/>
  <c r="K43" i="52" s="1"/>
  <c r="I11" i="52"/>
  <c r="K11" i="52" s="1"/>
  <c r="I51" i="52"/>
  <c r="K51" i="52" s="1"/>
  <c r="I47" i="52"/>
  <c r="K47" i="52" s="1"/>
  <c r="I41" i="52"/>
  <c r="K41" i="52" s="1"/>
  <c r="I59" i="52"/>
  <c r="K59" i="52" s="1"/>
  <c r="I48" i="52"/>
  <c r="K48" i="52" s="1"/>
  <c r="I25" i="52"/>
  <c r="K25" i="52" s="1"/>
  <c r="I31" i="52"/>
  <c r="K31" i="52" s="1"/>
  <c r="I32" i="52"/>
  <c r="K32" i="52" s="1"/>
  <c r="I35" i="52"/>
  <c r="K35" i="52" s="1"/>
  <c r="I55" i="52"/>
  <c r="K55" i="52" s="1"/>
  <c r="I16" i="52"/>
  <c r="K16" i="52" s="1"/>
  <c r="I24" i="52"/>
  <c r="K24" i="52" s="1"/>
  <c r="I33" i="52"/>
  <c r="K33" i="52" s="1"/>
  <c r="I40" i="52"/>
  <c r="K40" i="52" s="1"/>
  <c r="I19" i="52"/>
  <c r="K19" i="52" s="1"/>
  <c r="I23" i="52"/>
  <c r="K23" i="52" s="1"/>
  <c r="I15" i="52"/>
  <c r="K15" i="52" s="1"/>
  <c r="I17" i="52"/>
  <c r="K17" i="52" s="1"/>
  <c r="I27" i="52"/>
  <c r="K27" i="52" s="1"/>
  <c r="I9" i="52"/>
  <c r="K9" i="52" s="1"/>
  <c r="I46" i="52"/>
  <c r="K46" i="52" s="1"/>
  <c r="I38" i="52"/>
  <c r="K38" i="52" s="1"/>
  <c r="I30" i="52"/>
  <c r="K30" i="52" s="1"/>
  <c r="I14" i="52"/>
  <c r="K14" i="52" s="1"/>
  <c r="I13" i="52"/>
  <c r="K13" i="52" s="1"/>
  <c r="I62" i="52"/>
  <c r="K62" i="52" s="1"/>
  <c r="I22" i="52"/>
  <c r="K22" i="52" s="1"/>
  <c r="I54" i="52"/>
  <c r="K54" i="52" s="1"/>
  <c r="I39" i="52"/>
  <c r="K39" i="52" s="1"/>
  <c r="I65" i="52"/>
  <c r="K65" i="52" s="1"/>
  <c r="I57" i="52"/>
  <c r="K57" i="52" s="1"/>
  <c r="I56" i="52"/>
  <c r="K56" i="52" s="1"/>
  <c r="I61" i="52"/>
  <c r="K61" i="52" s="1"/>
  <c r="I45" i="52"/>
  <c r="K45" i="52" s="1"/>
  <c r="I21" i="52"/>
  <c r="K21" i="52" s="1"/>
  <c r="I68" i="52"/>
  <c r="K68" i="52" s="1"/>
  <c r="I60" i="52"/>
  <c r="K60" i="52" s="1"/>
  <c r="I52" i="52"/>
  <c r="K52" i="52" s="1"/>
  <c r="I44" i="52"/>
  <c r="K44" i="52" s="1"/>
  <c r="I36" i="52"/>
  <c r="K36" i="52" s="1"/>
  <c r="I28" i="52"/>
  <c r="K28" i="52" s="1"/>
  <c r="I20" i="52"/>
  <c r="K20" i="52" s="1"/>
  <c r="I12" i="52"/>
  <c r="K12" i="52" s="1"/>
  <c r="I37" i="52"/>
  <c r="K37" i="52" s="1"/>
  <c r="I53" i="52"/>
  <c r="K53" i="52" s="1"/>
  <c r="I29" i="52"/>
  <c r="K29" i="52" s="1"/>
  <c r="I58" i="52"/>
  <c r="K58" i="52" s="1"/>
  <c r="I42" i="52"/>
  <c r="K42" i="52" s="1"/>
  <c r="I34" i="52"/>
  <c r="K34" i="52" s="1"/>
  <c r="I26" i="52"/>
  <c r="K26" i="52" s="1"/>
  <c r="I18" i="52"/>
  <c r="K18" i="52" s="1"/>
  <c r="I10" i="52"/>
  <c r="K10" i="52" s="1"/>
  <c r="I66" i="52"/>
  <c r="K66" i="52" s="1"/>
  <c r="I50" i="52"/>
  <c r="K50" i="52" s="1"/>
  <c r="I49" i="52"/>
  <c r="K49" i="52" s="1"/>
</calcChain>
</file>

<file path=xl/sharedStrings.xml><?xml version="1.0" encoding="utf-8"?>
<sst xmlns="http://schemas.openxmlformats.org/spreadsheetml/2006/main" count="734" uniqueCount="158">
  <si>
    <t>Total</t>
  </si>
  <si>
    <t>Roll No.</t>
  </si>
  <si>
    <t>Name of Student</t>
  </si>
  <si>
    <t>%age</t>
  </si>
  <si>
    <t>Department of Electrical Engineering</t>
  </si>
  <si>
    <t>BALOCHISTAN UNIVERSITY OF ENGINEERING &amp; TECHNOLOGY, KHUZDAR</t>
  </si>
  <si>
    <t>Copy to :</t>
  </si>
  <si>
    <t>S No</t>
  </si>
  <si>
    <t>S. No</t>
  </si>
  <si>
    <t>1. Dean Faculty of Engineering</t>
  </si>
  <si>
    <t xml:space="preserve">2. Notice Board for Display </t>
  </si>
  <si>
    <t>1st Week</t>
  </si>
  <si>
    <t>2nd Week</t>
  </si>
  <si>
    <t>3rd Week</t>
  </si>
  <si>
    <t>4th Week</t>
  </si>
  <si>
    <t>Teacher's Signature:</t>
  </si>
  <si>
    <t>Total (Th)</t>
  </si>
  <si>
    <t>Total (Pr)</t>
  </si>
  <si>
    <t>5th Week</t>
  </si>
  <si>
    <t>S. No.</t>
  </si>
  <si>
    <t>6th Week</t>
  </si>
  <si>
    <t>7th Week</t>
  </si>
  <si>
    <t>8th Week</t>
  </si>
  <si>
    <t>9th Week</t>
  </si>
  <si>
    <t>10th Week</t>
  </si>
  <si>
    <t>Teacher Name &amp; Designation</t>
  </si>
  <si>
    <t>Monthly Attendance Sheet</t>
  </si>
  <si>
    <t>Course Title &amp; Code</t>
  </si>
  <si>
    <t>Program &amp; Department</t>
  </si>
  <si>
    <t>Month &amp; Session</t>
  </si>
  <si>
    <t>B.E.,Electrical Engineering</t>
  </si>
  <si>
    <t>Feb</t>
  </si>
  <si>
    <t>Mar</t>
  </si>
  <si>
    <t>Apr</t>
  </si>
  <si>
    <t>May</t>
  </si>
  <si>
    <t>13th Week</t>
  </si>
  <si>
    <t>14th Week</t>
  </si>
  <si>
    <t>15th Week</t>
  </si>
  <si>
    <t>16th Week</t>
  </si>
  <si>
    <t>17th Week</t>
  </si>
  <si>
    <t>June</t>
  </si>
  <si>
    <t>5th, Batch 22</t>
  </si>
  <si>
    <t>Feb, Spring 2025</t>
  </si>
  <si>
    <t>March, Spring 2025</t>
  </si>
  <si>
    <t>April, Spring 2025</t>
  </si>
  <si>
    <t>May, Spring 2025</t>
  </si>
  <si>
    <t>June, Spring 2025</t>
  </si>
  <si>
    <t xml:space="preserve">5th Semester      </t>
  </si>
  <si>
    <t>11th Week</t>
  </si>
  <si>
    <t xml:space="preserve">11th Week </t>
  </si>
  <si>
    <t>Semester, Batch</t>
  </si>
  <si>
    <t>Overall Attendance, Spring 2025</t>
  </si>
  <si>
    <t>22EL01</t>
  </si>
  <si>
    <t>22EL03</t>
  </si>
  <si>
    <t>22EL04</t>
  </si>
  <si>
    <t>22EL06</t>
  </si>
  <si>
    <t>22EL07</t>
  </si>
  <si>
    <t>22EL08</t>
  </si>
  <si>
    <t>22EL09</t>
  </si>
  <si>
    <t>22EL10</t>
  </si>
  <si>
    <t>22EL11</t>
  </si>
  <si>
    <t>22EL12</t>
  </si>
  <si>
    <t>22EL15</t>
  </si>
  <si>
    <t>22EL17</t>
  </si>
  <si>
    <t>22EL18</t>
  </si>
  <si>
    <t>22EL19</t>
  </si>
  <si>
    <t>22EL20</t>
  </si>
  <si>
    <t>22EL21</t>
  </si>
  <si>
    <t>22EL22</t>
  </si>
  <si>
    <t>22EL23</t>
  </si>
  <si>
    <t>22EL25</t>
  </si>
  <si>
    <t>22EL26</t>
  </si>
  <si>
    <t>22EL27</t>
  </si>
  <si>
    <t>22EL28</t>
  </si>
  <si>
    <t>22EL29</t>
  </si>
  <si>
    <t>22EL31</t>
  </si>
  <si>
    <t>22EL32</t>
  </si>
  <si>
    <t>22EL33</t>
  </si>
  <si>
    <t>22EL34</t>
  </si>
  <si>
    <t>22EL35</t>
  </si>
  <si>
    <t>22EL36</t>
  </si>
  <si>
    <t>22EL37</t>
  </si>
  <si>
    <t>22EL38</t>
  </si>
  <si>
    <t>22EL39</t>
  </si>
  <si>
    <t>22EL40</t>
  </si>
  <si>
    <t>22EL42</t>
  </si>
  <si>
    <t>22EL43</t>
  </si>
  <si>
    <t>22EL44</t>
  </si>
  <si>
    <t>22EL45</t>
  </si>
  <si>
    <t>22EL47</t>
  </si>
  <si>
    <t>22EL48</t>
  </si>
  <si>
    <t>22EL49</t>
  </si>
  <si>
    <t>22EL50</t>
  </si>
  <si>
    <t>22EL51</t>
  </si>
  <si>
    <t>22EL52</t>
  </si>
  <si>
    <t>22EL53</t>
  </si>
  <si>
    <t>22EL54</t>
  </si>
  <si>
    <t>22EL55</t>
  </si>
  <si>
    <t>22EL56</t>
  </si>
  <si>
    <t>22EL57</t>
  </si>
  <si>
    <t>22EL59</t>
  </si>
  <si>
    <t>18EL21</t>
  </si>
  <si>
    <t>21EL56</t>
  </si>
  <si>
    <t>Azam Hussain</t>
  </si>
  <si>
    <t>Kaleem Yousuf</t>
  </si>
  <si>
    <t>Mansoor Ahmed</t>
  </si>
  <si>
    <t>Syeda Maria Shah</t>
  </si>
  <si>
    <t>Sania</t>
  </si>
  <si>
    <t>Kainat</t>
  </si>
  <si>
    <t>Rohit Kumar</t>
  </si>
  <si>
    <t>Muqaddas Shoaib</t>
  </si>
  <si>
    <t>Muhammad Nouman</t>
  </si>
  <si>
    <t>Syed Asif Shah</t>
  </si>
  <si>
    <t>Syed Mir Wise</t>
  </si>
  <si>
    <t>Hidayat Ullah</t>
  </si>
  <si>
    <t>Muzamil Shah</t>
  </si>
  <si>
    <t>Jawad Ahmed</t>
  </si>
  <si>
    <t>M. Rizwan Iqbal</t>
  </si>
  <si>
    <t>Muhammad Haroon</t>
  </si>
  <si>
    <t>Shahwaiz Aziz</t>
  </si>
  <si>
    <t>Malik Shehryar</t>
  </si>
  <si>
    <t>Karam Khan</t>
  </si>
  <si>
    <t>Muhsin Ali</t>
  </si>
  <si>
    <t>Ussama Majeed</t>
  </si>
  <si>
    <t>Yasir Ahmed</t>
  </si>
  <si>
    <t>Mohammad Alam</t>
  </si>
  <si>
    <t>Muhmammad Imran</t>
  </si>
  <si>
    <t>Gul  Baz  Khan</t>
  </si>
  <si>
    <t>Sana Ullah</t>
  </si>
  <si>
    <t>Ghulam Haider</t>
  </si>
  <si>
    <t>Muhammad Qaseem</t>
  </si>
  <si>
    <t>Muhammad Adrees</t>
  </si>
  <si>
    <t>Muhammad Kaleem</t>
  </si>
  <si>
    <t>Ahsan Ullah</t>
  </si>
  <si>
    <t>Muhammad Imran</t>
  </si>
  <si>
    <t>Janzeb</t>
  </si>
  <si>
    <t>Muhammad Awais</t>
  </si>
  <si>
    <t>Yousuf Akbar</t>
  </si>
  <si>
    <t>Muhmammad Haroon</t>
  </si>
  <si>
    <t xml:space="preserve">Jawad </t>
  </si>
  <si>
    <t>Bijjar Ismail</t>
  </si>
  <si>
    <t>Shehzad</t>
  </si>
  <si>
    <t>Sumair</t>
  </si>
  <si>
    <t xml:space="preserve">Nabeel </t>
  </si>
  <si>
    <t>Kach kol</t>
  </si>
  <si>
    <t>Samar Obaid</t>
  </si>
  <si>
    <t>Nasrat Ullah</t>
  </si>
  <si>
    <t>Abdul Rauf</t>
  </si>
  <si>
    <t>Khair Bakhsh</t>
  </si>
  <si>
    <t xml:space="preserve">Mohammad </t>
  </si>
  <si>
    <t>Sher Ahmed</t>
  </si>
  <si>
    <t xml:space="preserve">Hamayoum Khan (Rep)  </t>
  </si>
  <si>
    <t>Subhana ( Rep)</t>
  </si>
  <si>
    <t>Communictaion System</t>
  </si>
  <si>
    <t>Dr. Wazir Muhammad, Assistant Professor</t>
  </si>
  <si>
    <t>Communication System</t>
  </si>
  <si>
    <t>Subject: Communication Sysem</t>
  </si>
  <si>
    <t>Teacher: Dr. Wazir Muhammad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</si>
</sst>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\-yy;@"/>
  </numFmts>
  <fonts count="25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sz val="14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u/>
      <sz val="10"/>
      <color theme="10"/>
      <name val="Arial"/>
      <family val="2"/>
    </font>
    <font>
      <b/>
      <sz val="18"/>
      <name val="Arial"/>
      <family val="2"/>
    </font>
    <font>
      <u val="double"/>
      <sz val="12"/>
      <name val="Arial"/>
      <family val="2"/>
    </font>
    <font>
      <sz val="16"/>
      <name val="Arial"/>
      <family val="2"/>
    </font>
    <font>
      <b/>
      <u val="double"/>
      <sz val="10"/>
      <name val="Arial"/>
      <family val="2"/>
    </font>
    <font>
      <u val="double"/>
      <sz val="10"/>
      <name val="Arial"/>
      <family val="2"/>
    </font>
    <font>
      <b/>
      <sz val="11"/>
      <name val="Arial"/>
      <family val="2"/>
    </font>
    <font>
      <b/>
      <sz val="11"/>
      <color indexed="8"/>
      <name val="Arial"/>
      <family val="2"/>
    </font>
    <font>
      <b/>
      <sz val="8"/>
      <color indexed="8"/>
      <name val="Arial"/>
      <family val="2"/>
    </font>
    <font>
      <b/>
      <sz val="9"/>
      <color indexed="8"/>
      <name val="Arial"/>
      <family val="2"/>
    </font>
    <font>
      <b/>
      <u/>
      <sz val="12"/>
      <name val="Arial"/>
      <family val="2"/>
    </font>
    <font>
      <b/>
      <sz val="10"/>
      <color indexed="8"/>
      <name val="Arial"/>
      <family val="2"/>
    </font>
    <font>
      <b/>
      <sz val="9"/>
      <name val="Arial"/>
      <family val="2"/>
    </font>
    <font>
      <sz val="9"/>
      <color indexed="8"/>
      <name val="Arial"/>
      <family val="2"/>
    </font>
    <font>
      <sz val="8"/>
      <color indexed="8"/>
      <name val="Arial"/>
      <family val="2"/>
    </font>
    <font>
      <b/>
      <u val="double"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14">
    <xf numFmtId="0" fontId="0" fillId="0" borderId="0" xfId="0"/>
    <xf numFmtId="0" fontId="1" fillId="0" borderId="0" xfId="0" applyFont="1"/>
    <xf numFmtId="0" fontId="3" fillId="0" borderId="0" xfId="0" applyFont="1" applyAlignment="1">
      <alignment textRotation="90" wrapText="1"/>
    </xf>
    <xf numFmtId="0" fontId="3" fillId="0" borderId="1" xfId="0" applyFont="1" applyBorder="1" applyAlignment="1">
      <alignment textRotation="90" wrapText="1"/>
    </xf>
    <xf numFmtId="0" fontId="2" fillId="0" borderId="0" xfId="0" applyFont="1"/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3" fillId="0" borderId="2" xfId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1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" fontId="16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top"/>
    </xf>
    <xf numFmtId="0" fontId="2" fillId="0" borderId="2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2" fillId="0" borderId="9" xfId="0" applyFont="1" applyBorder="1" applyAlignment="1">
      <alignment vertical="center" wrapText="1"/>
    </xf>
    <xf numFmtId="0" fontId="2" fillId="0" borderId="2" xfId="0" applyFont="1" applyBorder="1" applyAlignment="1">
      <alignment vertical="top" wrapText="1"/>
    </xf>
    <xf numFmtId="0" fontId="3" fillId="0" borderId="2" xfId="0" applyFont="1" applyBorder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13" fillId="0" borderId="0" xfId="0" applyFont="1"/>
    <xf numFmtId="0" fontId="13" fillId="0" borderId="0" xfId="0" applyFont="1" applyAlignment="1">
      <alignment horizontal="center"/>
    </xf>
    <xf numFmtId="17" fontId="20" fillId="0" borderId="5" xfId="0" applyNumberFormat="1" applyFont="1" applyBorder="1" applyAlignment="1">
      <alignment vertical="center"/>
    </xf>
    <xf numFmtId="17" fontId="20" fillId="2" borderId="5" xfId="0" applyNumberFormat="1" applyFont="1" applyFill="1" applyBorder="1" applyAlignment="1">
      <alignment vertical="center"/>
    </xf>
    <xf numFmtId="0" fontId="4" fillId="0" borderId="7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16" fontId="17" fillId="0" borderId="2" xfId="0" applyNumberFormat="1" applyFont="1" applyBorder="1" applyAlignment="1">
      <alignment horizontal="center" vertical="center"/>
    </xf>
    <xf numFmtId="16" fontId="4" fillId="0" borderId="2" xfId="0" applyNumberFormat="1" applyFont="1" applyBorder="1" applyAlignment="1">
      <alignment horizontal="center" vertical="center" wrapText="1"/>
    </xf>
    <xf numFmtId="16" fontId="4" fillId="2" borderId="2" xfId="0" applyNumberFormat="1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/>
    </xf>
    <xf numFmtId="0" fontId="20" fillId="0" borderId="2" xfId="0" applyFont="1" applyBorder="1" applyAlignment="1">
      <alignment horizontal="center" vertical="center"/>
    </xf>
    <xf numFmtId="0" fontId="20" fillId="2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0" fontId="23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/>
    </xf>
    <xf numFmtId="0" fontId="2" fillId="2" borderId="2" xfId="0" applyFont="1" applyFill="1" applyBorder="1"/>
    <xf numFmtId="0" fontId="2" fillId="2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2" fillId="0" borderId="2" xfId="0" applyFont="1" applyBorder="1"/>
    <xf numFmtId="0" fontId="4" fillId="0" borderId="7" xfId="0" applyFont="1" applyBorder="1" applyAlignment="1">
      <alignment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2" xfId="0" applyFont="1" applyBorder="1" applyAlignment="1">
      <alignment vertical="center" wrapText="1"/>
    </xf>
    <xf numFmtId="0" fontId="1" fillId="0" borderId="2" xfId="0" applyFont="1" applyBorder="1" applyAlignment="1">
      <alignment horizontal="center"/>
    </xf>
    <xf numFmtId="16" fontId="13" fillId="0" borderId="0" xfId="0" applyNumberFormat="1" applyFont="1"/>
    <xf numFmtId="0" fontId="22" fillId="2" borderId="2" xfId="0" applyFont="1" applyFill="1" applyBorder="1" applyAlignment="1">
      <alignment vertical="center"/>
    </xf>
    <xf numFmtId="0" fontId="3" fillId="0" borderId="0" xfId="0" applyFont="1"/>
    <xf numFmtId="0" fontId="3" fillId="2" borderId="0" xfId="0" applyFont="1" applyFill="1"/>
    <xf numFmtId="0" fontId="22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21" fillId="0" borderId="3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17" fontId="20" fillId="0" borderId="5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16" fontId="13" fillId="0" borderId="0" xfId="0" applyNumberFormat="1" applyFont="1" applyAlignment="1">
      <alignment horizontal="left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0" borderId="2" xfId="0" applyFont="1" applyBorder="1" applyAlignment="1">
      <alignment vertic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5" fillId="0" borderId="3" xfId="0" applyFont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4" fillId="2" borderId="2" xfId="0" applyFont="1" applyFill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75"/>
  <sheetViews>
    <sheetView view="pageBreakPreview" zoomScaleSheetLayoutView="100" workbookViewId="0">
      <selection activeCell="E14" sqref="E14"/>
    </sheetView>
  </sheetViews>
  <sheetFormatPr defaultRowHeight="12.5" x14ac:dyDescent="0.25"/>
  <cols>
    <col min="1" max="1" width="4.7265625" style="4" customWidth="1"/>
    <col min="2" max="2" width="4.81640625" style="1" customWidth="1"/>
    <col min="3" max="3" width="19.54296875" style="1" customWidth="1"/>
    <col min="4" max="4" width="7.36328125" style="4" customWidth="1"/>
    <col min="5" max="5" width="9.1796875" style="4" customWidth="1"/>
    <col min="6" max="6" width="8.36328125" style="31" customWidth="1"/>
    <col min="7" max="7" width="8.36328125" style="4" customWidth="1"/>
    <col min="8" max="16384" width="8.7265625" style="4"/>
  </cols>
  <sheetData>
    <row r="1" spans="1:28" ht="18" x14ac:dyDescent="0.4">
      <c r="A1" s="78" t="s">
        <v>5</v>
      </c>
      <c r="B1" s="78"/>
      <c r="C1" s="78"/>
      <c r="D1" s="78"/>
      <c r="E1" s="78"/>
      <c r="F1" s="78"/>
      <c r="G1" s="78"/>
      <c r="H1" s="78"/>
      <c r="I1" s="78"/>
    </row>
    <row r="2" spans="1:28" ht="18" x14ac:dyDescent="0.4">
      <c r="B2" s="78" t="s">
        <v>26</v>
      </c>
      <c r="C2" s="78"/>
      <c r="D2" s="78"/>
      <c r="E2" s="78"/>
      <c r="F2" s="78"/>
      <c r="G2" s="78"/>
    </row>
    <row r="3" spans="1:28" ht="15.75" customHeight="1" x14ac:dyDescent="0.35">
      <c r="B3" s="37"/>
      <c r="C3" s="80" t="s">
        <v>28</v>
      </c>
      <c r="D3" s="80"/>
      <c r="E3" s="37" t="s">
        <v>30</v>
      </c>
      <c r="F3" s="37"/>
      <c r="G3" s="37"/>
    </row>
    <row r="4" spans="1:28" ht="15.75" customHeight="1" x14ac:dyDescent="0.35">
      <c r="B4" s="37"/>
      <c r="C4" s="80" t="s">
        <v>27</v>
      </c>
      <c r="D4" s="80"/>
      <c r="E4" s="64" t="s">
        <v>153</v>
      </c>
      <c r="F4" s="64"/>
      <c r="G4" s="37"/>
    </row>
    <row r="5" spans="1:28" ht="15.75" customHeight="1" x14ac:dyDescent="0.35">
      <c r="B5" s="37"/>
      <c r="C5" s="80" t="s">
        <v>25</v>
      </c>
      <c r="D5" s="80"/>
      <c r="E5" s="82" t="s">
        <v>154</v>
      </c>
      <c r="F5" s="82"/>
      <c r="G5" s="82"/>
      <c r="H5" s="82"/>
    </row>
    <row r="6" spans="1:28" ht="12.65" customHeight="1" x14ac:dyDescent="0.35">
      <c r="B6" s="37"/>
      <c r="C6" s="80" t="s">
        <v>50</v>
      </c>
      <c r="D6" s="80"/>
      <c r="E6" s="64" t="s">
        <v>41</v>
      </c>
      <c r="F6" s="64"/>
      <c r="G6" s="37"/>
    </row>
    <row r="7" spans="1:28" ht="12.65" customHeight="1" x14ac:dyDescent="0.35">
      <c r="B7" s="37"/>
      <c r="C7" s="80" t="s">
        <v>29</v>
      </c>
      <c r="D7" s="80"/>
      <c r="E7" s="81" t="s">
        <v>42</v>
      </c>
      <c r="F7" s="81"/>
      <c r="G7" s="81"/>
    </row>
    <row r="8" spans="1:28" ht="13.9" customHeight="1" x14ac:dyDescent="0.25">
      <c r="B8" s="79"/>
      <c r="C8" s="79"/>
      <c r="D8" s="79"/>
      <c r="E8" s="79"/>
      <c r="F8" s="79"/>
      <c r="G8" s="79"/>
    </row>
    <row r="9" spans="1:28" ht="19.5" customHeight="1" x14ac:dyDescent="0.25">
      <c r="B9" s="77" t="s">
        <v>19</v>
      </c>
      <c r="C9" s="71" t="s">
        <v>2</v>
      </c>
      <c r="D9" s="74" t="s">
        <v>1</v>
      </c>
      <c r="E9" s="41" t="s">
        <v>11</v>
      </c>
      <c r="F9" s="41" t="s">
        <v>12</v>
      </c>
      <c r="G9" s="42" t="s">
        <v>0</v>
      </c>
    </row>
    <row r="10" spans="1:28" ht="14.5" customHeight="1" x14ac:dyDescent="0.25">
      <c r="B10" s="77"/>
      <c r="C10" s="72"/>
      <c r="D10" s="75"/>
      <c r="E10" s="44">
        <v>45707</v>
      </c>
      <c r="F10" s="44">
        <v>45714</v>
      </c>
      <c r="G10" s="46"/>
    </row>
    <row r="11" spans="1:28" ht="15" x14ac:dyDescent="0.3">
      <c r="B11" s="77"/>
      <c r="C11" s="73"/>
      <c r="D11" s="76"/>
      <c r="E11" s="21">
        <v>3</v>
      </c>
      <c r="F11" s="47">
        <v>3</v>
      </c>
      <c r="G11" s="49">
        <f>E11+F11</f>
        <v>6</v>
      </c>
    </row>
    <row r="12" spans="1:28" ht="13" x14ac:dyDescent="0.3">
      <c r="B12" s="63">
        <v>1</v>
      </c>
      <c r="C12" s="26" t="s">
        <v>103</v>
      </c>
      <c r="D12" s="27" t="s">
        <v>52</v>
      </c>
      <c r="E12" s="65"/>
      <c r="F12" s="51"/>
      <c r="G12" s="49">
        <f t="shared" ref="G12:G71" si="0">E12+F12</f>
        <v>0</v>
      </c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3"/>
    </row>
    <row r="13" spans="1:28" ht="13" x14ac:dyDescent="0.3">
      <c r="B13" s="50">
        <v>2</v>
      </c>
      <c r="C13" s="26" t="s">
        <v>104</v>
      </c>
      <c r="D13" s="27" t="s">
        <v>53</v>
      </c>
      <c r="E13" s="65"/>
      <c r="F13" s="51"/>
      <c r="G13" s="49">
        <f t="shared" si="0"/>
        <v>0</v>
      </c>
    </row>
    <row r="14" spans="1:28" ht="13" x14ac:dyDescent="0.3">
      <c r="B14" s="50">
        <v>3</v>
      </c>
      <c r="C14" s="26" t="s">
        <v>105</v>
      </c>
      <c r="D14" s="27" t="s">
        <v>54</v>
      </c>
      <c r="E14" s="65"/>
      <c r="F14" s="51"/>
      <c r="G14" s="49">
        <f t="shared" si="0"/>
        <v>0</v>
      </c>
    </row>
    <row r="15" spans="1:28" ht="13" x14ac:dyDescent="0.3">
      <c r="B15" s="63">
        <v>4</v>
      </c>
      <c r="C15" s="26" t="s">
        <v>106</v>
      </c>
      <c r="D15" s="27" t="s">
        <v>55</v>
      </c>
      <c r="E15" s="65"/>
      <c r="F15" s="51"/>
      <c r="G15" s="49">
        <f t="shared" si="0"/>
        <v>0</v>
      </c>
    </row>
    <row r="16" spans="1:28" ht="13" x14ac:dyDescent="0.3">
      <c r="B16" s="50">
        <v>5</v>
      </c>
      <c r="C16" s="26" t="s">
        <v>107</v>
      </c>
      <c r="D16" s="27" t="s">
        <v>56</v>
      </c>
      <c r="E16" s="65"/>
      <c r="F16" s="51"/>
      <c r="G16" s="49">
        <f t="shared" si="0"/>
        <v>0</v>
      </c>
    </row>
    <row r="17" spans="2:7" ht="13" x14ac:dyDescent="0.3">
      <c r="B17" s="50">
        <v>6</v>
      </c>
      <c r="C17" s="26" t="s">
        <v>108</v>
      </c>
      <c r="D17" s="27" t="s">
        <v>57</v>
      </c>
      <c r="E17" s="65"/>
      <c r="F17" s="51"/>
      <c r="G17" s="49">
        <f t="shared" si="0"/>
        <v>0</v>
      </c>
    </row>
    <row r="18" spans="2:7" ht="13" x14ac:dyDescent="0.3">
      <c r="B18" s="63">
        <v>7</v>
      </c>
      <c r="C18" s="26" t="s">
        <v>109</v>
      </c>
      <c r="D18" s="27" t="s">
        <v>58</v>
      </c>
      <c r="E18" s="65"/>
      <c r="F18" s="51"/>
      <c r="G18" s="49">
        <f t="shared" si="0"/>
        <v>0</v>
      </c>
    </row>
    <row r="19" spans="2:7" ht="13" x14ac:dyDescent="0.3">
      <c r="B19" s="50">
        <v>8</v>
      </c>
      <c r="C19" s="26" t="s">
        <v>110</v>
      </c>
      <c r="D19" s="27" t="s">
        <v>59</v>
      </c>
      <c r="E19" s="65"/>
      <c r="F19" s="51"/>
      <c r="G19" s="49">
        <f t="shared" si="0"/>
        <v>0</v>
      </c>
    </row>
    <row r="20" spans="2:7" ht="13" x14ac:dyDescent="0.3">
      <c r="B20" s="50">
        <v>9</v>
      </c>
      <c r="C20" s="26" t="s">
        <v>111</v>
      </c>
      <c r="D20" s="27" t="s">
        <v>60</v>
      </c>
      <c r="E20" s="65"/>
      <c r="F20" s="51"/>
      <c r="G20" s="49">
        <f t="shared" si="0"/>
        <v>0</v>
      </c>
    </row>
    <row r="21" spans="2:7" ht="13" x14ac:dyDescent="0.3">
      <c r="B21" s="63">
        <v>10</v>
      </c>
      <c r="C21" s="26" t="s">
        <v>112</v>
      </c>
      <c r="D21" s="27" t="s">
        <v>61</v>
      </c>
      <c r="E21" s="65"/>
      <c r="F21" s="51"/>
      <c r="G21" s="49">
        <f t="shared" si="0"/>
        <v>0</v>
      </c>
    </row>
    <row r="22" spans="2:7" ht="13" x14ac:dyDescent="0.3">
      <c r="B22" s="50">
        <v>11</v>
      </c>
      <c r="C22" s="26" t="s">
        <v>113</v>
      </c>
      <c r="D22" s="27" t="s">
        <v>62</v>
      </c>
      <c r="E22" s="65"/>
      <c r="F22" s="51"/>
      <c r="G22" s="49">
        <f t="shared" si="0"/>
        <v>0</v>
      </c>
    </row>
    <row r="23" spans="2:7" ht="13" x14ac:dyDescent="0.3">
      <c r="B23" s="50">
        <v>12</v>
      </c>
      <c r="C23" s="26" t="s">
        <v>114</v>
      </c>
      <c r="D23" s="27" t="s">
        <v>63</v>
      </c>
      <c r="E23" s="65"/>
      <c r="F23" s="51"/>
      <c r="G23" s="49">
        <f t="shared" si="0"/>
        <v>0</v>
      </c>
    </row>
    <row r="24" spans="2:7" ht="13" x14ac:dyDescent="0.3">
      <c r="B24" s="63">
        <v>13</v>
      </c>
      <c r="C24" s="26" t="s">
        <v>115</v>
      </c>
      <c r="D24" s="27" t="s">
        <v>64</v>
      </c>
      <c r="E24" s="65"/>
      <c r="F24" s="51"/>
      <c r="G24" s="49">
        <f t="shared" si="0"/>
        <v>0</v>
      </c>
    </row>
    <row r="25" spans="2:7" ht="13" x14ac:dyDescent="0.3">
      <c r="B25" s="50">
        <v>14</v>
      </c>
      <c r="C25" s="26" t="s">
        <v>116</v>
      </c>
      <c r="D25" s="27" t="s">
        <v>65</v>
      </c>
      <c r="E25" s="65"/>
      <c r="F25" s="51"/>
      <c r="G25" s="49">
        <f t="shared" si="0"/>
        <v>0</v>
      </c>
    </row>
    <row r="26" spans="2:7" ht="13" x14ac:dyDescent="0.3">
      <c r="B26" s="50">
        <v>15</v>
      </c>
      <c r="C26" s="26" t="s">
        <v>117</v>
      </c>
      <c r="D26" s="27" t="s">
        <v>66</v>
      </c>
      <c r="E26" s="65"/>
      <c r="F26" s="51"/>
      <c r="G26" s="49">
        <f t="shared" si="0"/>
        <v>0</v>
      </c>
    </row>
    <row r="27" spans="2:7" ht="13" x14ac:dyDescent="0.3">
      <c r="B27" s="63">
        <v>16</v>
      </c>
      <c r="C27" s="26" t="s">
        <v>118</v>
      </c>
      <c r="D27" s="27" t="s">
        <v>67</v>
      </c>
      <c r="E27" s="65"/>
      <c r="F27" s="51"/>
      <c r="G27" s="49">
        <f t="shared" si="0"/>
        <v>0</v>
      </c>
    </row>
    <row r="28" spans="2:7" ht="13" x14ac:dyDescent="0.3">
      <c r="B28" s="50">
        <v>17</v>
      </c>
      <c r="C28" s="26" t="s">
        <v>119</v>
      </c>
      <c r="D28" s="27" t="s">
        <v>68</v>
      </c>
      <c r="E28" s="65"/>
      <c r="F28" s="51"/>
      <c r="G28" s="49">
        <f t="shared" si="0"/>
        <v>0</v>
      </c>
    </row>
    <row r="29" spans="2:7" ht="13" x14ac:dyDescent="0.3">
      <c r="B29" s="50">
        <v>18</v>
      </c>
      <c r="C29" s="26" t="s">
        <v>120</v>
      </c>
      <c r="D29" s="27" t="s">
        <v>69</v>
      </c>
      <c r="E29" s="65"/>
      <c r="F29" s="51"/>
      <c r="G29" s="49">
        <f t="shared" si="0"/>
        <v>0</v>
      </c>
    </row>
    <row r="30" spans="2:7" ht="13" x14ac:dyDescent="0.3">
      <c r="B30" s="63">
        <v>19</v>
      </c>
      <c r="C30" s="26" t="s">
        <v>121</v>
      </c>
      <c r="D30" s="27" t="s">
        <v>70</v>
      </c>
      <c r="E30" s="65"/>
      <c r="F30" s="51"/>
      <c r="G30" s="49">
        <f t="shared" si="0"/>
        <v>0</v>
      </c>
    </row>
    <row r="31" spans="2:7" ht="13" x14ac:dyDescent="0.3">
      <c r="B31" s="50">
        <v>20</v>
      </c>
      <c r="C31" s="26" t="s">
        <v>122</v>
      </c>
      <c r="D31" s="27" t="s">
        <v>71</v>
      </c>
      <c r="E31" s="65"/>
      <c r="F31" s="51"/>
      <c r="G31" s="49">
        <f t="shared" si="0"/>
        <v>0</v>
      </c>
    </row>
    <row r="32" spans="2:7" ht="13" x14ac:dyDescent="0.3">
      <c r="B32" s="50">
        <v>21</v>
      </c>
      <c r="C32" s="26" t="s">
        <v>123</v>
      </c>
      <c r="D32" s="27" t="s">
        <v>72</v>
      </c>
      <c r="E32" s="65"/>
      <c r="F32" s="51"/>
      <c r="G32" s="49">
        <f t="shared" si="0"/>
        <v>0</v>
      </c>
    </row>
    <row r="33" spans="2:7" ht="13" x14ac:dyDescent="0.3">
      <c r="B33" s="63">
        <v>22</v>
      </c>
      <c r="C33" s="26" t="s">
        <v>124</v>
      </c>
      <c r="D33" s="27" t="s">
        <v>73</v>
      </c>
      <c r="E33" s="65"/>
      <c r="F33" s="51"/>
      <c r="G33" s="49">
        <f t="shared" si="0"/>
        <v>0</v>
      </c>
    </row>
    <row r="34" spans="2:7" ht="13" x14ac:dyDescent="0.3">
      <c r="B34" s="50">
        <v>23</v>
      </c>
      <c r="C34" s="26" t="s">
        <v>125</v>
      </c>
      <c r="D34" s="27" t="s">
        <v>74</v>
      </c>
      <c r="E34" s="65"/>
      <c r="F34" s="51"/>
      <c r="G34" s="49">
        <f t="shared" si="0"/>
        <v>0</v>
      </c>
    </row>
    <row r="35" spans="2:7" ht="13" x14ac:dyDescent="0.3">
      <c r="B35" s="50">
        <v>24</v>
      </c>
      <c r="C35" s="26" t="s">
        <v>126</v>
      </c>
      <c r="D35" s="27" t="s">
        <v>75</v>
      </c>
      <c r="E35" s="65"/>
      <c r="F35" s="51"/>
      <c r="G35" s="49">
        <f t="shared" si="0"/>
        <v>0</v>
      </c>
    </row>
    <row r="36" spans="2:7" ht="13" x14ac:dyDescent="0.3">
      <c r="B36" s="63">
        <v>25</v>
      </c>
      <c r="C36" s="26" t="s">
        <v>105</v>
      </c>
      <c r="D36" s="27" t="s">
        <v>76</v>
      </c>
      <c r="E36" s="65"/>
      <c r="F36" s="51"/>
      <c r="G36" s="49">
        <f t="shared" si="0"/>
        <v>0</v>
      </c>
    </row>
    <row r="37" spans="2:7" ht="13" x14ac:dyDescent="0.3">
      <c r="B37" s="50">
        <v>26</v>
      </c>
      <c r="C37" s="26" t="s">
        <v>127</v>
      </c>
      <c r="D37" s="27" t="s">
        <v>77</v>
      </c>
      <c r="E37" s="65"/>
      <c r="F37" s="51"/>
      <c r="G37" s="49">
        <f t="shared" si="0"/>
        <v>0</v>
      </c>
    </row>
    <row r="38" spans="2:7" ht="13" x14ac:dyDescent="0.3">
      <c r="B38" s="50">
        <v>27</v>
      </c>
      <c r="C38" s="26" t="s">
        <v>128</v>
      </c>
      <c r="D38" s="27" t="s">
        <v>78</v>
      </c>
      <c r="E38" s="65"/>
      <c r="F38" s="51"/>
      <c r="G38" s="49">
        <f t="shared" si="0"/>
        <v>0</v>
      </c>
    </row>
    <row r="39" spans="2:7" ht="13" x14ac:dyDescent="0.3">
      <c r="B39" s="63">
        <v>28</v>
      </c>
      <c r="C39" s="26" t="s">
        <v>129</v>
      </c>
      <c r="D39" s="27" t="s">
        <v>79</v>
      </c>
      <c r="E39" s="65"/>
      <c r="F39" s="51"/>
      <c r="G39" s="49">
        <f t="shared" si="0"/>
        <v>0</v>
      </c>
    </row>
    <row r="40" spans="2:7" ht="13" x14ac:dyDescent="0.3">
      <c r="B40" s="50">
        <v>29</v>
      </c>
      <c r="C40" s="26" t="s">
        <v>130</v>
      </c>
      <c r="D40" s="27" t="s">
        <v>80</v>
      </c>
      <c r="E40" s="65"/>
      <c r="F40" s="51"/>
      <c r="G40" s="49">
        <f t="shared" si="0"/>
        <v>0</v>
      </c>
    </row>
    <row r="41" spans="2:7" ht="13" x14ac:dyDescent="0.3">
      <c r="B41" s="50">
        <v>30</v>
      </c>
      <c r="C41" s="26" t="s">
        <v>131</v>
      </c>
      <c r="D41" s="27" t="s">
        <v>81</v>
      </c>
      <c r="E41" s="65"/>
      <c r="F41" s="51"/>
      <c r="G41" s="49">
        <f t="shared" si="0"/>
        <v>0</v>
      </c>
    </row>
    <row r="42" spans="2:7" ht="13" x14ac:dyDescent="0.3">
      <c r="B42" s="63">
        <v>31</v>
      </c>
      <c r="C42" s="26" t="s">
        <v>132</v>
      </c>
      <c r="D42" s="27" t="s">
        <v>82</v>
      </c>
      <c r="E42" s="65"/>
      <c r="F42" s="51"/>
      <c r="G42" s="49">
        <f t="shared" si="0"/>
        <v>0</v>
      </c>
    </row>
    <row r="43" spans="2:7" ht="13" x14ac:dyDescent="0.3">
      <c r="B43" s="50">
        <v>32</v>
      </c>
      <c r="C43" s="26" t="s">
        <v>133</v>
      </c>
      <c r="D43" s="27" t="s">
        <v>83</v>
      </c>
      <c r="E43" s="65"/>
      <c r="F43" s="51"/>
      <c r="G43" s="49">
        <f t="shared" si="0"/>
        <v>0</v>
      </c>
    </row>
    <row r="44" spans="2:7" ht="13" x14ac:dyDescent="0.3">
      <c r="B44" s="50">
        <v>33</v>
      </c>
      <c r="C44" s="26" t="s">
        <v>134</v>
      </c>
      <c r="D44" s="27" t="s">
        <v>84</v>
      </c>
      <c r="E44" s="65"/>
      <c r="F44" s="51"/>
      <c r="G44" s="49">
        <f t="shared" si="0"/>
        <v>0</v>
      </c>
    </row>
    <row r="45" spans="2:7" ht="13" x14ac:dyDescent="0.3">
      <c r="B45" s="63">
        <v>34</v>
      </c>
      <c r="C45" s="26" t="s">
        <v>135</v>
      </c>
      <c r="D45" s="27" t="s">
        <v>85</v>
      </c>
      <c r="E45" s="65"/>
      <c r="F45" s="51"/>
      <c r="G45" s="49">
        <f t="shared" si="0"/>
        <v>0</v>
      </c>
    </row>
    <row r="46" spans="2:7" ht="13" x14ac:dyDescent="0.3">
      <c r="B46" s="50">
        <v>35</v>
      </c>
      <c r="C46" s="26" t="s">
        <v>136</v>
      </c>
      <c r="D46" s="27" t="s">
        <v>86</v>
      </c>
      <c r="E46" s="65"/>
      <c r="F46" s="51"/>
      <c r="G46" s="49">
        <f t="shared" si="0"/>
        <v>0</v>
      </c>
    </row>
    <row r="47" spans="2:7" ht="13" x14ac:dyDescent="0.3">
      <c r="B47" s="50">
        <v>36</v>
      </c>
      <c r="C47" s="26" t="s">
        <v>137</v>
      </c>
      <c r="D47" s="27" t="s">
        <v>87</v>
      </c>
      <c r="E47" s="65"/>
      <c r="F47" s="51"/>
      <c r="G47" s="49">
        <f t="shared" si="0"/>
        <v>0</v>
      </c>
    </row>
    <row r="48" spans="2:7" ht="13" x14ac:dyDescent="0.3">
      <c r="B48" s="63">
        <v>37</v>
      </c>
      <c r="C48" s="26" t="s">
        <v>138</v>
      </c>
      <c r="D48" s="27" t="s">
        <v>88</v>
      </c>
      <c r="E48" s="65"/>
      <c r="F48" s="51"/>
      <c r="G48" s="49">
        <f t="shared" si="0"/>
        <v>0</v>
      </c>
    </row>
    <row r="49" spans="2:7" ht="13" x14ac:dyDescent="0.3">
      <c r="B49" s="50">
        <v>38</v>
      </c>
      <c r="C49" s="26" t="s">
        <v>139</v>
      </c>
      <c r="D49" s="27" t="s">
        <v>89</v>
      </c>
      <c r="E49" s="65"/>
      <c r="F49" s="51"/>
      <c r="G49" s="49">
        <f t="shared" si="0"/>
        <v>0</v>
      </c>
    </row>
    <row r="50" spans="2:7" ht="13" x14ac:dyDescent="0.3">
      <c r="B50" s="50">
        <v>39</v>
      </c>
      <c r="C50" s="26" t="s">
        <v>140</v>
      </c>
      <c r="D50" s="27" t="s">
        <v>90</v>
      </c>
      <c r="E50" s="65"/>
      <c r="F50" s="51"/>
      <c r="G50" s="49">
        <f t="shared" si="0"/>
        <v>0</v>
      </c>
    </row>
    <row r="51" spans="2:7" ht="13" x14ac:dyDescent="0.3">
      <c r="B51" s="63">
        <v>40</v>
      </c>
      <c r="C51" s="26" t="s">
        <v>141</v>
      </c>
      <c r="D51" s="27" t="s">
        <v>91</v>
      </c>
      <c r="E51" s="65"/>
      <c r="F51" s="51"/>
      <c r="G51" s="49">
        <f t="shared" si="0"/>
        <v>0</v>
      </c>
    </row>
    <row r="52" spans="2:7" ht="13" x14ac:dyDescent="0.3">
      <c r="B52" s="50">
        <v>41</v>
      </c>
      <c r="C52" s="26" t="s">
        <v>142</v>
      </c>
      <c r="D52" s="27" t="s">
        <v>92</v>
      </c>
      <c r="E52" s="65"/>
      <c r="F52" s="51"/>
      <c r="G52" s="49">
        <f t="shared" si="0"/>
        <v>0</v>
      </c>
    </row>
    <row r="53" spans="2:7" ht="13" x14ac:dyDescent="0.3">
      <c r="B53" s="50">
        <v>42</v>
      </c>
      <c r="C53" s="26" t="s">
        <v>143</v>
      </c>
      <c r="D53" s="27" t="s">
        <v>93</v>
      </c>
      <c r="E53" s="65"/>
      <c r="F53" s="51"/>
      <c r="G53" s="49">
        <f t="shared" si="0"/>
        <v>0</v>
      </c>
    </row>
    <row r="54" spans="2:7" ht="13" x14ac:dyDescent="0.3">
      <c r="B54" s="63">
        <v>43</v>
      </c>
      <c r="C54" s="26" t="s">
        <v>144</v>
      </c>
      <c r="D54" s="27" t="s">
        <v>94</v>
      </c>
      <c r="E54" s="65"/>
      <c r="F54" s="51"/>
      <c r="G54" s="49">
        <f t="shared" si="0"/>
        <v>0</v>
      </c>
    </row>
    <row r="55" spans="2:7" ht="13" x14ac:dyDescent="0.3">
      <c r="B55" s="50">
        <v>44</v>
      </c>
      <c r="C55" s="26" t="s">
        <v>145</v>
      </c>
      <c r="D55" s="27" t="s">
        <v>95</v>
      </c>
      <c r="E55" s="65"/>
      <c r="F55" s="51"/>
      <c r="G55" s="49">
        <f t="shared" si="0"/>
        <v>0</v>
      </c>
    </row>
    <row r="56" spans="2:7" ht="13" x14ac:dyDescent="0.3">
      <c r="B56" s="50">
        <v>45</v>
      </c>
      <c r="C56" s="26" t="s">
        <v>146</v>
      </c>
      <c r="D56" s="27" t="s">
        <v>96</v>
      </c>
      <c r="E56" s="65"/>
      <c r="F56" s="51"/>
      <c r="G56" s="49">
        <f t="shared" si="0"/>
        <v>0</v>
      </c>
    </row>
    <row r="57" spans="2:7" ht="13" x14ac:dyDescent="0.3">
      <c r="B57" s="63">
        <v>46</v>
      </c>
      <c r="C57" s="26" t="s">
        <v>147</v>
      </c>
      <c r="D57" s="27" t="s">
        <v>97</v>
      </c>
      <c r="E57" s="65"/>
      <c r="F57" s="51"/>
      <c r="G57" s="49">
        <f t="shared" si="0"/>
        <v>0</v>
      </c>
    </row>
    <row r="58" spans="2:7" ht="13" x14ac:dyDescent="0.3">
      <c r="B58" s="50">
        <v>47</v>
      </c>
      <c r="C58" s="26" t="s">
        <v>148</v>
      </c>
      <c r="D58" s="27" t="s">
        <v>98</v>
      </c>
      <c r="E58" s="65"/>
      <c r="F58" s="51"/>
      <c r="G58" s="49">
        <f t="shared" si="0"/>
        <v>0</v>
      </c>
    </row>
    <row r="59" spans="2:7" ht="13" x14ac:dyDescent="0.3">
      <c r="B59" s="50">
        <v>48</v>
      </c>
      <c r="C59" s="26" t="s">
        <v>149</v>
      </c>
      <c r="D59" s="27" t="s">
        <v>99</v>
      </c>
      <c r="E59" s="65"/>
      <c r="F59" s="51"/>
      <c r="G59" s="49">
        <f t="shared" si="0"/>
        <v>0</v>
      </c>
    </row>
    <row r="60" spans="2:7" ht="13" x14ac:dyDescent="0.3">
      <c r="B60" s="50">
        <v>49</v>
      </c>
      <c r="C60" s="28" t="s">
        <v>150</v>
      </c>
      <c r="D60" s="27" t="s">
        <v>100</v>
      </c>
      <c r="E60" s="65"/>
      <c r="F60" s="51"/>
      <c r="G60" s="49">
        <f t="shared" si="0"/>
        <v>0</v>
      </c>
    </row>
    <row r="61" spans="2:7" ht="13" x14ac:dyDescent="0.3">
      <c r="B61" s="63">
        <v>50</v>
      </c>
      <c r="C61" s="29" t="s">
        <v>151</v>
      </c>
      <c r="D61" s="27" t="s">
        <v>101</v>
      </c>
      <c r="E61" s="65"/>
      <c r="F61" s="51"/>
      <c r="G61" s="49">
        <f t="shared" si="0"/>
        <v>0</v>
      </c>
    </row>
    <row r="62" spans="2:7" ht="13" x14ac:dyDescent="0.3">
      <c r="B62" s="50">
        <v>51</v>
      </c>
      <c r="C62" s="26" t="s">
        <v>152</v>
      </c>
      <c r="D62" s="27" t="s">
        <v>102</v>
      </c>
      <c r="E62" s="65"/>
      <c r="F62" s="51"/>
      <c r="G62" s="49">
        <f t="shared" si="0"/>
        <v>0</v>
      </c>
    </row>
    <row r="63" spans="2:7" ht="13" x14ac:dyDescent="0.3">
      <c r="B63" s="50">
        <v>52</v>
      </c>
      <c r="C63" s="30"/>
      <c r="D63" s="30"/>
      <c r="E63" s="65"/>
      <c r="F63" s="51"/>
      <c r="G63" s="49">
        <f t="shared" si="0"/>
        <v>0</v>
      </c>
    </row>
    <row r="64" spans="2:7" ht="13" x14ac:dyDescent="0.3">
      <c r="B64" s="50">
        <v>53</v>
      </c>
      <c r="C64" s="30"/>
      <c r="D64" s="30"/>
      <c r="E64" s="65"/>
      <c r="F64" s="51"/>
      <c r="G64" s="49">
        <f t="shared" si="0"/>
        <v>0</v>
      </c>
    </row>
    <row r="65" spans="2:7" ht="13" x14ac:dyDescent="0.3">
      <c r="B65" s="63">
        <v>54</v>
      </c>
      <c r="C65" s="30"/>
      <c r="D65" s="30"/>
      <c r="E65" s="65"/>
      <c r="F65" s="51"/>
      <c r="G65" s="49">
        <f t="shared" si="0"/>
        <v>0</v>
      </c>
    </row>
    <row r="66" spans="2:7" ht="13" x14ac:dyDescent="0.3">
      <c r="B66" s="50">
        <v>55</v>
      </c>
      <c r="C66" s="30"/>
      <c r="D66" s="30"/>
      <c r="E66" s="65"/>
      <c r="F66" s="51"/>
      <c r="G66" s="49">
        <f t="shared" si="0"/>
        <v>0</v>
      </c>
    </row>
    <row r="67" spans="2:7" ht="13" x14ac:dyDescent="0.3">
      <c r="B67" s="50">
        <v>56</v>
      </c>
      <c r="C67" s="30"/>
      <c r="D67" s="30"/>
      <c r="E67" s="65"/>
      <c r="F67" s="51"/>
      <c r="G67" s="49">
        <f t="shared" si="0"/>
        <v>0</v>
      </c>
    </row>
    <row r="68" spans="2:7" ht="13" x14ac:dyDescent="0.3">
      <c r="B68" s="50">
        <v>57</v>
      </c>
      <c r="C68" s="30"/>
      <c r="D68" s="30"/>
      <c r="E68" s="65"/>
      <c r="F68" s="51"/>
      <c r="G68" s="49">
        <f t="shared" si="0"/>
        <v>0</v>
      </c>
    </row>
    <row r="69" spans="2:7" ht="13" x14ac:dyDescent="0.3">
      <c r="B69" s="63">
        <v>58</v>
      </c>
      <c r="C69" s="30"/>
      <c r="D69" s="30"/>
      <c r="E69" s="65"/>
      <c r="F69" s="51"/>
      <c r="G69" s="49">
        <f t="shared" si="0"/>
        <v>0</v>
      </c>
    </row>
    <row r="70" spans="2:7" ht="13" x14ac:dyDescent="0.3">
      <c r="B70" s="50">
        <v>59</v>
      </c>
      <c r="C70" s="30"/>
      <c r="D70" s="30"/>
      <c r="E70" s="65"/>
      <c r="F70" s="51"/>
      <c r="G70" s="49">
        <f t="shared" si="0"/>
        <v>0</v>
      </c>
    </row>
    <row r="71" spans="2:7" ht="13" x14ac:dyDescent="0.3">
      <c r="B71" s="50">
        <v>60</v>
      </c>
      <c r="C71" s="30"/>
      <c r="D71" s="30"/>
      <c r="E71" s="65"/>
      <c r="F71" s="51"/>
      <c r="G71" s="49">
        <f t="shared" si="0"/>
        <v>0</v>
      </c>
    </row>
    <row r="72" spans="2:7" ht="13" x14ac:dyDescent="0.3">
      <c r="B72" s="8"/>
      <c r="C72" s="66"/>
      <c r="D72" s="67"/>
      <c r="E72" s="68"/>
      <c r="F72" s="68"/>
      <c r="G72" s="16"/>
    </row>
    <row r="73" spans="2:7" x14ac:dyDescent="0.25">
      <c r="B73" s="8"/>
      <c r="C73" s="4"/>
      <c r="E73" s="33"/>
      <c r="F73" s="33"/>
    </row>
    <row r="75" spans="2:7" ht="13" x14ac:dyDescent="0.3">
      <c r="B75" s="69" t="s">
        <v>15</v>
      </c>
      <c r="C75" s="70"/>
      <c r="D75" s="70"/>
      <c r="E75" s="70"/>
      <c r="F75" s="70"/>
      <c r="G75" s="70"/>
    </row>
  </sheetData>
  <mergeCells count="14">
    <mergeCell ref="B75:G75"/>
    <mergeCell ref="C9:C11"/>
    <mergeCell ref="D9:D11"/>
    <mergeCell ref="B9:B11"/>
    <mergeCell ref="A1:I1"/>
    <mergeCell ref="B8:G8"/>
    <mergeCell ref="B2:G2"/>
    <mergeCell ref="C4:D4"/>
    <mergeCell ref="C5:D5"/>
    <mergeCell ref="C3:D3"/>
    <mergeCell ref="C6:D6"/>
    <mergeCell ref="C7:D7"/>
    <mergeCell ref="E7:G7"/>
    <mergeCell ref="E5:H5"/>
  </mergeCells>
  <printOptions horizontalCentered="1" verticalCentered="1"/>
  <pageMargins left="0.87" right="0.45" top="0" bottom="0" header="0" footer="0"/>
  <pageSetup scale="106" orientation="portrait" r:id="rId1"/>
  <colBreaks count="1" manualBreakCount="1">
    <brk id="11" min="2" max="82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74"/>
  <sheetViews>
    <sheetView view="pageBreakPreview" zoomScale="115" zoomScaleSheetLayoutView="115" workbookViewId="0">
      <selection activeCell="F9" sqref="F9"/>
    </sheetView>
  </sheetViews>
  <sheetFormatPr defaultRowHeight="12.5" x14ac:dyDescent="0.25"/>
  <cols>
    <col min="1" max="1" width="8.7265625" style="4"/>
    <col min="2" max="2" width="4.81640625" style="1" customWidth="1"/>
    <col min="3" max="3" width="19.54296875" style="1" customWidth="1"/>
    <col min="4" max="4" width="7.90625" style="4" customWidth="1"/>
    <col min="5" max="5" width="7.26953125" style="4" bestFit="1" customWidth="1"/>
    <col min="6" max="6" width="7.1796875" style="56" bestFit="1" customWidth="1"/>
    <col min="7" max="8" width="7.1796875" style="4" bestFit="1" customWidth="1"/>
    <col min="9" max="9" width="6.81640625" style="4" customWidth="1"/>
    <col min="10" max="16384" width="8.7265625" style="4"/>
  </cols>
  <sheetData>
    <row r="1" spans="1:30" ht="13" customHeight="1" x14ac:dyDescent="0.4">
      <c r="A1" s="78" t="s">
        <v>5</v>
      </c>
      <c r="B1" s="78"/>
      <c r="C1" s="78"/>
      <c r="D1" s="78"/>
      <c r="E1" s="78"/>
      <c r="F1" s="78"/>
      <c r="G1" s="78"/>
      <c r="H1" s="78"/>
      <c r="I1" s="78"/>
      <c r="J1" s="78"/>
    </row>
    <row r="2" spans="1:30" ht="15.75" customHeight="1" x14ac:dyDescent="0.4">
      <c r="B2" s="78" t="s">
        <v>26</v>
      </c>
      <c r="C2" s="78"/>
      <c r="D2" s="78"/>
      <c r="E2" s="78"/>
      <c r="F2" s="78"/>
      <c r="G2" s="78"/>
      <c r="H2" s="78"/>
      <c r="I2" s="78"/>
    </row>
    <row r="3" spans="1:30" ht="12.65" customHeight="1" x14ac:dyDescent="0.35">
      <c r="B3" s="37"/>
      <c r="C3" s="80" t="s">
        <v>28</v>
      </c>
      <c r="D3" s="80"/>
      <c r="E3" s="81" t="s">
        <v>30</v>
      </c>
      <c r="F3" s="81"/>
      <c r="G3" s="81"/>
      <c r="H3" s="81"/>
      <c r="I3" s="81"/>
    </row>
    <row r="4" spans="1:30" ht="12.65" customHeight="1" x14ac:dyDescent="0.35">
      <c r="B4" s="37"/>
      <c r="C4" s="80" t="s">
        <v>27</v>
      </c>
      <c r="D4" s="80"/>
      <c r="E4" s="82" t="s">
        <v>155</v>
      </c>
      <c r="F4" s="82"/>
      <c r="G4" s="82"/>
      <c r="H4" s="82"/>
      <c r="I4" s="82"/>
    </row>
    <row r="5" spans="1:30" ht="12.65" customHeight="1" x14ac:dyDescent="0.35">
      <c r="B5" s="37"/>
      <c r="C5" s="80" t="s">
        <v>25</v>
      </c>
      <c r="D5" s="80"/>
      <c r="E5" s="82" t="s">
        <v>154</v>
      </c>
      <c r="F5" s="82"/>
      <c r="G5" s="82"/>
      <c r="H5" s="82"/>
      <c r="I5" s="82"/>
    </row>
    <row r="6" spans="1:30" ht="12.65" customHeight="1" x14ac:dyDescent="0.35">
      <c r="B6" s="37"/>
      <c r="C6" s="80" t="s">
        <v>50</v>
      </c>
      <c r="D6" s="80"/>
      <c r="E6" s="82" t="s">
        <v>41</v>
      </c>
      <c r="F6" s="82"/>
      <c r="G6" s="82"/>
      <c r="H6" s="82"/>
      <c r="I6" s="82"/>
    </row>
    <row r="7" spans="1:30" ht="12.65" customHeight="1" x14ac:dyDescent="0.35">
      <c r="B7" s="37"/>
      <c r="C7" s="80" t="s">
        <v>29</v>
      </c>
      <c r="D7" s="80"/>
      <c r="E7" s="81" t="s">
        <v>43</v>
      </c>
      <c r="F7" s="81"/>
      <c r="G7" s="81"/>
      <c r="H7" s="81"/>
      <c r="I7" s="81"/>
    </row>
    <row r="8" spans="1:30" ht="13.9" customHeight="1" x14ac:dyDescent="0.25">
      <c r="B8" s="39"/>
      <c r="C8" s="39"/>
      <c r="D8" s="39"/>
      <c r="E8" s="39"/>
      <c r="F8" s="40"/>
      <c r="G8" s="39"/>
      <c r="H8" s="39"/>
      <c r="I8" s="39"/>
    </row>
    <row r="9" spans="1:30" ht="19.5" customHeight="1" x14ac:dyDescent="0.25">
      <c r="B9" s="83" t="s">
        <v>7</v>
      </c>
      <c r="C9" s="71" t="s">
        <v>2</v>
      </c>
      <c r="D9" s="74" t="s">
        <v>1</v>
      </c>
      <c r="E9" s="41" t="s">
        <v>13</v>
      </c>
      <c r="F9" s="111" t="s">
        <v>14</v>
      </c>
      <c r="G9" s="41" t="s">
        <v>18</v>
      </c>
      <c r="H9" s="41" t="s">
        <v>20</v>
      </c>
      <c r="I9" s="42" t="s">
        <v>0</v>
      </c>
    </row>
    <row r="10" spans="1:30" ht="14.5" customHeight="1" x14ac:dyDescent="0.25">
      <c r="B10" s="84"/>
      <c r="C10" s="72"/>
      <c r="D10" s="75"/>
      <c r="E10" s="43">
        <v>45721</v>
      </c>
      <c r="F10" s="45">
        <v>45728</v>
      </c>
      <c r="G10" s="44">
        <v>45735</v>
      </c>
      <c r="H10" s="45">
        <v>45742</v>
      </c>
      <c r="I10" s="46"/>
    </row>
    <row r="11" spans="1:30" ht="13" customHeight="1" x14ac:dyDescent="0.3">
      <c r="B11" s="85"/>
      <c r="C11" s="73"/>
      <c r="D11" s="76"/>
      <c r="E11" s="16">
        <v>3</v>
      </c>
      <c r="F11" s="48">
        <v>3</v>
      </c>
      <c r="G11" s="47">
        <v>3</v>
      </c>
      <c r="H11" s="47">
        <v>3</v>
      </c>
      <c r="I11" s="49">
        <f>E11+F11+G11+H11</f>
        <v>12</v>
      </c>
    </row>
    <row r="12" spans="1:30" ht="13" x14ac:dyDescent="0.3">
      <c r="B12" s="63">
        <v>1</v>
      </c>
      <c r="C12" s="26" t="s">
        <v>103</v>
      </c>
      <c r="D12" s="27" t="s">
        <v>52</v>
      </c>
      <c r="E12" s="51">
        <v>3</v>
      </c>
      <c r="F12" s="51">
        <v>3</v>
      </c>
      <c r="G12" s="51">
        <v>3</v>
      </c>
      <c r="H12" s="51"/>
      <c r="I12" s="49">
        <f t="shared" ref="I12:I71" si="0">E12+F12+G12+H12</f>
        <v>9</v>
      </c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3"/>
    </row>
    <row r="13" spans="1:30" ht="13" x14ac:dyDescent="0.3">
      <c r="B13" s="50">
        <v>2</v>
      </c>
      <c r="C13" s="26" t="s">
        <v>104</v>
      </c>
      <c r="D13" s="27" t="s">
        <v>53</v>
      </c>
      <c r="E13" s="51">
        <v>3</v>
      </c>
      <c r="F13" s="51">
        <v>3</v>
      </c>
      <c r="G13" s="51">
        <v>3</v>
      </c>
      <c r="H13" s="51"/>
      <c r="I13" s="49">
        <f t="shared" si="0"/>
        <v>9</v>
      </c>
    </row>
    <row r="14" spans="1:30" ht="13" x14ac:dyDescent="0.3">
      <c r="B14" s="50">
        <v>3</v>
      </c>
      <c r="C14" s="26" t="s">
        <v>105</v>
      </c>
      <c r="D14" s="27" t="s">
        <v>54</v>
      </c>
      <c r="E14" s="51">
        <v>3</v>
      </c>
      <c r="F14" s="51">
        <v>3</v>
      </c>
      <c r="G14" s="51">
        <v>3</v>
      </c>
      <c r="H14" s="51"/>
      <c r="I14" s="49">
        <f t="shared" si="0"/>
        <v>9</v>
      </c>
    </row>
    <row r="15" spans="1:30" ht="13" x14ac:dyDescent="0.3">
      <c r="B15" s="63">
        <v>4</v>
      </c>
      <c r="C15" s="26" t="s">
        <v>106</v>
      </c>
      <c r="D15" s="27" t="s">
        <v>55</v>
      </c>
      <c r="E15" s="51">
        <v>3</v>
      </c>
      <c r="F15" s="51">
        <v>3</v>
      </c>
      <c r="G15" s="51">
        <v>3</v>
      </c>
      <c r="H15" s="51"/>
      <c r="I15" s="49">
        <f t="shared" si="0"/>
        <v>9</v>
      </c>
    </row>
    <row r="16" spans="1:30" ht="13" x14ac:dyDescent="0.3">
      <c r="B16" s="50">
        <v>5</v>
      </c>
      <c r="C16" s="26" t="s">
        <v>107</v>
      </c>
      <c r="D16" s="27" t="s">
        <v>56</v>
      </c>
      <c r="E16" s="51">
        <v>3</v>
      </c>
      <c r="F16" s="51">
        <v>0</v>
      </c>
      <c r="G16" s="51">
        <v>3</v>
      </c>
      <c r="H16" s="51"/>
      <c r="I16" s="49">
        <f t="shared" si="0"/>
        <v>6</v>
      </c>
    </row>
    <row r="17" spans="2:9" ht="13" x14ac:dyDescent="0.3">
      <c r="B17" s="50">
        <v>6</v>
      </c>
      <c r="C17" s="26" t="s">
        <v>108</v>
      </c>
      <c r="D17" s="27" t="s">
        <v>57</v>
      </c>
      <c r="E17" s="51">
        <v>3</v>
      </c>
      <c r="F17" s="51">
        <v>3</v>
      </c>
      <c r="G17" s="51">
        <v>3</v>
      </c>
      <c r="H17" s="51"/>
      <c r="I17" s="49">
        <f t="shared" si="0"/>
        <v>9</v>
      </c>
    </row>
    <row r="18" spans="2:9" ht="13" x14ac:dyDescent="0.3">
      <c r="B18" s="63">
        <v>7</v>
      </c>
      <c r="C18" s="26" t="s">
        <v>109</v>
      </c>
      <c r="D18" s="27" t="s">
        <v>58</v>
      </c>
      <c r="E18" s="51">
        <v>0</v>
      </c>
      <c r="F18" s="51">
        <v>0</v>
      </c>
      <c r="G18" s="51">
        <v>3</v>
      </c>
      <c r="H18" s="51"/>
      <c r="I18" s="49">
        <f t="shared" si="0"/>
        <v>3</v>
      </c>
    </row>
    <row r="19" spans="2:9" ht="13" x14ac:dyDescent="0.3">
      <c r="B19" s="50">
        <v>8</v>
      </c>
      <c r="C19" s="26" t="s">
        <v>110</v>
      </c>
      <c r="D19" s="27" t="s">
        <v>59</v>
      </c>
      <c r="E19" s="51">
        <v>3</v>
      </c>
      <c r="F19" s="51">
        <v>3</v>
      </c>
      <c r="G19" s="51">
        <v>3</v>
      </c>
      <c r="H19" s="51"/>
      <c r="I19" s="49">
        <f t="shared" si="0"/>
        <v>9</v>
      </c>
    </row>
    <row r="20" spans="2:9" ht="13" x14ac:dyDescent="0.3">
      <c r="B20" s="50">
        <v>9</v>
      </c>
      <c r="C20" s="26" t="s">
        <v>111</v>
      </c>
      <c r="D20" s="27" t="s">
        <v>60</v>
      </c>
      <c r="E20" s="51">
        <v>0</v>
      </c>
      <c r="F20" s="51">
        <v>3</v>
      </c>
      <c r="G20" s="51">
        <v>3</v>
      </c>
      <c r="H20" s="51"/>
      <c r="I20" s="49">
        <f t="shared" si="0"/>
        <v>6</v>
      </c>
    </row>
    <row r="21" spans="2:9" ht="13" x14ac:dyDescent="0.3">
      <c r="B21" s="63">
        <v>10</v>
      </c>
      <c r="C21" s="26" t="s">
        <v>112</v>
      </c>
      <c r="D21" s="27" t="s">
        <v>61</v>
      </c>
      <c r="E21" s="51">
        <v>3</v>
      </c>
      <c r="F21" s="51">
        <v>3</v>
      </c>
      <c r="G21" s="51">
        <v>3</v>
      </c>
      <c r="H21" s="51"/>
      <c r="I21" s="49">
        <f t="shared" si="0"/>
        <v>9</v>
      </c>
    </row>
    <row r="22" spans="2:9" ht="13" x14ac:dyDescent="0.3">
      <c r="B22" s="50">
        <v>11</v>
      </c>
      <c r="C22" s="26" t="s">
        <v>113</v>
      </c>
      <c r="D22" s="27" t="s">
        <v>62</v>
      </c>
      <c r="E22" s="51">
        <v>3</v>
      </c>
      <c r="F22" s="51">
        <v>3</v>
      </c>
      <c r="G22" s="51">
        <v>3</v>
      </c>
      <c r="H22" s="51"/>
      <c r="I22" s="49">
        <f t="shared" si="0"/>
        <v>9</v>
      </c>
    </row>
    <row r="23" spans="2:9" ht="13" x14ac:dyDescent="0.3">
      <c r="B23" s="50">
        <v>12</v>
      </c>
      <c r="C23" s="26" t="s">
        <v>114</v>
      </c>
      <c r="D23" s="27" t="s">
        <v>63</v>
      </c>
      <c r="E23" s="51">
        <v>3</v>
      </c>
      <c r="F23" s="51">
        <v>3</v>
      </c>
      <c r="G23" s="51">
        <v>3</v>
      </c>
      <c r="H23" s="51"/>
      <c r="I23" s="49">
        <f t="shared" si="0"/>
        <v>9</v>
      </c>
    </row>
    <row r="24" spans="2:9" ht="13" x14ac:dyDescent="0.3">
      <c r="B24" s="63">
        <v>13</v>
      </c>
      <c r="C24" s="26" t="s">
        <v>115</v>
      </c>
      <c r="D24" s="27" t="s">
        <v>64</v>
      </c>
      <c r="E24" s="51">
        <v>3</v>
      </c>
      <c r="F24" s="51">
        <v>3</v>
      </c>
      <c r="G24" s="51">
        <v>3</v>
      </c>
      <c r="H24" s="51"/>
      <c r="I24" s="49">
        <f t="shared" si="0"/>
        <v>9</v>
      </c>
    </row>
    <row r="25" spans="2:9" ht="13" x14ac:dyDescent="0.3">
      <c r="B25" s="50">
        <v>14</v>
      </c>
      <c r="C25" s="26" t="s">
        <v>116</v>
      </c>
      <c r="D25" s="27" t="s">
        <v>65</v>
      </c>
      <c r="E25" s="51">
        <v>3</v>
      </c>
      <c r="F25" s="51">
        <v>3</v>
      </c>
      <c r="G25" s="51">
        <v>3</v>
      </c>
      <c r="H25" s="51"/>
      <c r="I25" s="49">
        <f t="shared" si="0"/>
        <v>9</v>
      </c>
    </row>
    <row r="26" spans="2:9" ht="13" x14ac:dyDescent="0.3">
      <c r="B26" s="50">
        <v>15</v>
      </c>
      <c r="C26" s="26" t="s">
        <v>117</v>
      </c>
      <c r="D26" s="27" t="s">
        <v>66</v>
      </c>
      <c r="E26" s="51">
        <v>3</v>
      </c>
      <c r="F26" s="51">
        <v>3</v>
      </c>
      <c r="G26" s="51">
        <v>3</v>
      </c>
      <c r="H26" s="51"/>
      <c r="I26" s="49">
        <f t="shared" si="0"/>
        <v>9</v>
      </c>
    </row>
    <row r="27" spans="2:9" ht="13" x14ac:dyDescent="0.3">
      <c r="B27" s="63">
        <v>16</v>
      </c>
      <c r="C27" s="26" t="s">
        <v>118</v>
      </c>
      <c r="D27" s="27" t="s">
        <v>67</v>
      </c>
      <c r="E27" s="51">
        <v>3</v>
      </c>
      <c r="F27" s="51">
        <v>3</v>
      </c>
      <c r="G27" s="51">
        <v>3</v>
      </c>
      <c r="H27" s="51"/>
      <c r="I27" s="49">
        <f t="shared" si="0"/>
        <v>9</v>
      </c>
    </row>
    <row r="28" spans="2:9" ht="13" x14ac:dyDescent="0.3">
      <c r="B28" s="50">
        <v>17</v>
      </c>
      <c r="C28" s="26" t="s">
        <v>119</v>
      </c>
      <c r="D28" s="27" t="s">
        <v>68</v>
      </c>
      <c r="E28" s="51">
        <v>3</v>
      </c>
      <c r="F28" s="51">
        <v>3</v>
      </c>
      <c r="G28" s="51">
        <v>3</v>
      </c>
      <c r="H28" s="51"/>
      <c r="I28" s="49">
        <f t="shared" si="0"/>
        <v>9</v>
      </c>
    </row>
    <row r="29" spans="2:9" ht="13" x14ac:dyDescent="0.3">
      <c r="B29" s="50">
        <v>18</v>
      </c>
      <c r="C29" s="26" t="s">
        <v>120</v>
      </c>
      <c r="D29" s="27" t="s">
        <v>69</v>
      </c>
      <c r="E29" s="51">
        <v>3</v>
      </c>
      <c r="F29" s="51">
        <v>3</v>
      </c>
      <c r="G29" s="51">
        <v>3</v>
      </c>
      <c r="H29" s="51"/>
      <c r="I29" s="49">
        <f t="shared" si="0"/>
        <v>9</v>
      </c>
    </row>
    <row r="30" spans="2:9" ht="13" x14ac:dyDescent="0.3">
      <c r="B30" s="63">
        <v>19</v>
      </c>
      <c r="C30" s="26" t="s">
        <v>121</v>
      </c>
      <c r="D30" s="27" t="s">
        <v>70</v>
      </c>
      <c r="E30" s="51">
        <v>3</v>
      </c>
      <c r="F30" s="51">
        <v>3</v>
      </c>
      <c r="G30" s="51">
        <v>3</v>
      </c>
      <c r="H30" s="51"/>
      <c r="I30" s="49">
        <f t="shared" si="0"/>
        <v>9</v>
      </c>
    </row>
    <row r="31" spans="2:9" ht="13" x14ac:dyDescent="0.3">
      <c r="B31" s="50">
        <v>20</v>
      </c>
      <c r="C31" s="26" t="s">
        <v>122</v>
      </c>
      <c r="D31" s="27" t="s">
        <v>71</v>
      </c>
      <c r="E31" s="51">
        <v>3</v>
      </c>
      <c r="F31" s="51">
        <v>3</v>
      </c>
      <c r="G31" s="51">
        <v>3</v>
      </c>
      <c r="H31" s="51"/>
      <c r="I31" s="49">
        <f t="shared" si="0"/>
        <v>9</v>
      </c>
    </row>
    <row r="32" spans="2:9" ht="13" x14ac:dyDescent="0.3">
      <c r="B32" s="50">
        <v>21</v>
      </c>
      <c r="C32" s="26" t="s">
        <v>123</v>
      </c>
      <c r="D32" s="27" t="s">
        <v>72</v>
      </c>
      <c r="E32" s="51">
        <v>3</v>
      </c>
      <c r="F32" s="51">
        <v>3</v>
      </c>
      <c r="G32" s="51">
        <v>3</v>
      </c>
      <c r="H32" s="51"/>
      <c r="I32" s="49">
        <f t="shared" si="0"/>
        <v>9</v>
      </c>
    </row>
    <row r="33" spans="2:9" ht="13" x14ac:dyDescent="0.3">
      <c r="B33" s="63">
        <v>22</v>
      </c>
      <c r="C33" s="26" t="s">
        <v>124</v>
      </c>
      <c r="D33" s="27" t="s">
        <v>73</v>
      </c>
      <c r="E33" s="51">
        <v>3</v>
      </c>
      <c r="F33" s="51">
        <v>3</v>
      </c>
      <c r="G33" s="51">
        <v>3</v>
      </c>
      <c r="H33" s="51"/>
      <c r="I33" s="49">
        <f t="shared" si="0"/>
        <v>9</v>
      </c>
    </row>
    <row r="34" spans="2:9" ht="13" x14ac:dyDescent="0.3">
      <c r="B34" s="50">
        <v>23</v>
      </c>
      <c r="C34" s="26" t="s">
        <v>125</v>
      </c>
      <c r="D34" s="27" t="s">
        <v>74</v>
      </c>
      <c r="E34" s="51">
        <v>3</v>
      </c>
      <c r="F34" s="51">
        <v>3</v>
      </c>
      <c r="G34" s="51">
        <v>3</v>
      </c>
      <c r="H34" s="51"/>
      <c r="I34" s="49">
        <f t="shared" si="0"/>
        <v>9</v>
      </c>
    </row>
    <row r="35" spans="2:9" ht="13" x14ac:dyDescent="0.3">
      <c r="B35" s="50">
        <v>24</v>
      </c>
      <c r="C35" s="26" t="s">
        <v>126</v>
      </c>
      <c r="D35" s="27" t="s">
        <v>75</v>
      </c>
      <c r="E35" s="51">
        <v>3</v>
      </c>
      <c r="F35" s="51">
        <v>3</v>
      </c>
      <c r="G35" s="51">
        <v>3</v>
      </c>
      <c r="H35" s="51"/>
      <c r="I35" s="49">
        <f t="shared" si="0"/>
        <v>9</v>
      </c>
    </row>
    <row r="36" spans="2:9" ht="13" x14ac:dyDescent="0.3">
      <c r="B36" s="63">
        <v>25</v>
      </c>
      <c r="C36" s="26" t="s">
        <v>105</v>
      </c>
      <c r="D36" s="27" t="s">
        <v>76</v>
      </c>
      <c r="E36" s="51">
        <v>3</v>
      </c>
      <c r="F36" s="51">
        <v>3</v>
      </c>
      <c r="G36" s="51">
        <v>3</v>
      </c>
      <c r="H36" s="51"/>
      <c r="I36" s="49">
        <f t="shared" si="0"/>
        <v>9</v>
      </c>
    </row>
    <row r="37" spans="2:9" ht="13" x14ac:dyDescent="0.3">
      <c r="B37" s="50">
        <v>26</v>
      </c>
      <c r="C37" s="26" t="s">
        <v>127</v>
      </c>
      <c r="D37" s="27" t="s">
        <v>77</v>
      </c>
      <c r="E37" s="51">
        <v>3</v>
      </c>
      <c r="F37" s="51">
        <v>3</v>
      </c>
      <c r="G37" s="51">
        <v>3</v>
      </c>
      <c r="H37" s="51"/>
      <c r="I37" s="49">
        <f t="shared" si="0"/>
        <v>9</v>
      </c>
    </row>
    <row r="38" spans="2:9" ht="13" x14ac:dyDescent="0.3">
      <c r="B38" s="50">
        <v>27</v>
      </c>
      <c r="C38" s="26" t="s">
        <v>128</v>
      </c>
      <c r="D38" s="27" t="s">
        <v>78</v>
      </c>
      <c r="E38" s="51">
        <v>3</v>
      </c>
      <c r="F38" s="51">
        <v>3</v>
      </c>
      <c r="G38" s="51">
        <v>3</v>
      </c>
      <c r="H38" s="51"/>
      <c r="I38" s="49">
        <f t="shared" si="0"/>
        <v>9</v>
      </c>
    </row>
    <row r="39" spans="2:9" ht="13" x14ac:dyDescent="0.3">
      <c r="B39" s="63">
        <v>28</v>
      </c>
      <c r="C39" s="26" t="s">
        <v>129</v>
      </c>
      <c r="D39" s="27" t="s">
        <v>79</v>
      </c>
      <c r="E39" s="51">
        <v>3</v>
      </c>
      <c r="F39" s="51">
        <v>3</v>
      </c>
      <c r="G39" s="51">
        <v>0</v>
      </c>
      <c r="H39" s="51"/>
      <c r="I39" s="49">
        <f t="shared" si="0"/>
        <v>6</v>
      </c>
    </row>
    <row r="40" spans="2:9" ht="13" x14ac:dyDescent="0.3">
      <c r="B40" s="50">
        <v>29</v>
      </c>
      <c r="C40" s="26" t="s">
        <v>130</v>
      </c>
      <c r="D40" s="27" t="s">
        <v>80</v>
      </c>
      <c r="E40" s="51">
        <v>3</v>
      </c>
      <c r="F40" s="51">
        <v>3</v>
      </c>
      <c r="G40" s="51">
        <v>3</v>
      </c>
      <c r="H40" s="51"/>
      <c r="I40" s="49">
        <f t="shared" si="0"/>
        <v>9</v>
      </c>
    </row>
    <row r="41" spans="2:9" ht="13" x14ac:dyDescent="0.3">
      <c r="B41" s="50">
        <v>30</v>
      </c>
      <c r="C41" s="26" t="s">
        <v>131</v>
      </c>
      <c r="D41" s="27" t="s">
        <v>81</v>
      </c>
      <c r="E41" s="51">
        <v>3</v>
      </c>
      <c r="F41" s="51">
        <v>3</v>
      </c>
      <c r="G41" s="51">
        <v>3</v>
      </c>
      <c r="H41" s="51"/>
      <c r="I41" s="49">
        <f t="shared" si="0"/>
        <v>9</v>
      </c>
    </row>
    <row r="42" spans="2:9" ht="13" x14ac:dyDescent="0.3">
      <c r="B42" s="63">
        <v>31</v>
      </c>
      <c r="C42" s="26" t="s">
        <v>132</v>
      </c>
      <c r="D42" s="27" t="s">
        <v>82</v>
      </c>
      <c r="E42" s="51">
        <v>3</v>
      </c>
      <c r="F42" s="51">
        <v>3</v>
      </c>
      <c r="G42" s="51">
        <v>3</v>
      </c>
      <c r="H42" s="51"/>
      <c r="I42" s="49">
        <f t="shared" si="0"/>
        <v>9</v>
      </c>
    </row>
    <row r="43" spans="2:9" ht="13" x14ac:dyDescent="0.3">
      <c r="B43" s="50">
        <v>32</v>
      </c>
      <c r="C43" s="26" t="s">
        <v>133</v>
      </c>
      <c r="D43" s="27" t="s">
        <v>83</v>
      </c>
      <c r="E43" s="51">
        <v>3</v>
      </c>
      <c r="F43" s="51">
        <v>3</v>
      </c>
      <c r="G43" s="51">
        <v>3</v>
      </c>
      <c r="H43" s="51"/>
      <c r="I43" s="49">
        <f t="shared" si="0"/>
        <v>9</v>
      </c>
    </row>
    <row r="44" spans="2:9" ht="13" x14ac:dyDescent="0.3">
      <c r="B44" s="50">
        <v>33</v>
      </c>
      <c r="C44" s="26" t="s">
        <v>134</v>
      </c>
      <c r="D44" s="27" t="s">
        <v>84</v>
      </c>
      <c r="E44" s="51">
        <v>3</v>
      </c>
      <c r="F44" s="51">
        <v>3</v>
      </c>
      <c r="G44" s="51">
        <v>0</v>
      </c>
      <c r="H44" s="51"/>
      <c r="I44" s="49">
        <f t="shared" si="0"/>
        <v>6</v>
      </c>
    </row>
    <row r="45" spans="2:9" ht="13" x14ac:dyDescent="0.3">
      <c r="B45" s="63">
        <v>34</v>
      </c>
      <c r="C45" s="26" t="s">
        <v>135</v>
      </c>
      <c r="D45" s="27" t="s">
        <v>85</v>
      </c>
      <c r="E45" s="51">
        <v>3</v>
      </c>
      <c r="F45" s="51">
        <v>0</v>
      </c>
      <c r="G45" s="51">
        <v>3</v>
      </c>
      <c r="H45" s="51"/>
      <c r="I45" s="49">
        <f t="shared" si="0"/>
        <v>6</v>
      </c>
    </row>
    <row r="46" spans="2:9" ht="13" x14ac:dyDescent="0.3">
      <c r="B46" s="50">
        <v>35</v>
      </c>
      <c r="C46" s="26" t="s">
        <v>136</v>
      </c>
      <c r="D46" s="27" t="s">
        <v>86</v>
      </c>
      <c r="E46" s="51">
        <v>3</v>
      </c>
      <c r="F46" s="51">
        <v>0</v>
      </c>
      <c r="G46" s="51">
        <v>3</v>
      </c>
      <c r="H46" s="51"/>
      <c r="I46" s="49">
        <f t="shared" si="0"/>
        <v>6</v>
      </c>
    </row>
    <row r="47" spans="2:9" ht="13" x14ac:dyDescent="0.3">
      <c r="B47" s="50">
        <v>36</v>
      </c>
      <c r="C47" s="26" t="s">
        <v>137</v>
      </c>
      <c r="D47" s="27" t="s">
        <v>87</v>
      </c>
      <c r="E47" s="51">
        <v>3</v>
      </c>
      <c r="F47" s="51">
        <v>3</v>
      </c>
      <c r="G47" s="51">
        <v>3</v>
      </c>
      <c r="H47" s="51"/>
      <c r="I47" s="49">
        <f t="shared" si="0"/>
        <v>9</v>
      </c>
    </row>
    <row r="48" spans="2:9" ht="13" x14ac:dyDescent="0.3">
      <c r="B48" s="63">
        <v>37</v>
      </c>
      <c r="C48" s="26" t="s">
        <v>138</v>
      </c>
      <c r="D48" s="27" t="s">
        <v>88</v>
      </c>
      <c r="E48" s="51">
        <v>3</v>
      </c>
      <c r="F48" s="51">
        <v>3</v>
      </c>
      <c r="G48" s="51">
        <v>3</v>
      </c>
      <c r="H48" s="51"/>
      <c r="I48" s="49">
        <f t="shared" si="0"/>
        <v>9</v>
      </c>
    </row>
    <row r="49" spans="2:9" ht="13" x14ac:dyDescent="0.3">
      <c r="B49" s="50">
        <v>38</v>
      </c>
      <c r="C49" s="26" t="s">
        <v>139</v>
      </c>
      <c r="D49" s="27" t="s">
        <v>89</v>
      </c>
      <c r="E49" s="51">
        <v>3</v>
      </c>
      <c r="F49" s="51">
        <v>3</v>
      </c>
      <c r="G49" s="51">
        <v>0</v>
      </c>
      <c r="H49" s="51"/>
      <c r="I49" s="49">
        <f t="shared" si="0"/>
        <v>6</v>
      </c>
    </row>
    <row r="50" spans="2:9" ht="13" x14ac:dyDescent="0.3">
      <c r="B50" s="50">
        <v>39</v>
      </c>
      <c r="C50" s="26" t="s">
        <v>140</v>
      </c>
      <c r="D50" s="27" t="s">
        <v>90</v>
      </c>
      <c r="E50" s="51">
        <v>3</v>
      </c>
      <c r="F50" s="51">
        <v>3</v>
      </c>
      <c r="G50" s="51">
        <v>0</v>
      </c>
      <c r="H50" s="51"/>
      <c r="I50" s="49">
        <f t="shared" si="0"/>
        <v>6</v>
      </c>
    </row>
    <row r="51" spans="2:9" ht="13" x14ac:dyDescent="0.3">
      <c r="B51" s="63">
        <v>40</v>
      </c>
      <c r="C51" s="26" t="s">
        <v>141</v>
      </c>
      <c r="D51" s="27" t="s">
        <v>91</v>
      </c>
      <c r="E51" s="51">
        <v>3</v>
      </c>
      <c r="F51" s="51">
        <v>3</v>
      </c>
      <c r="G51" s="51">
        <v>3</v>
      </c>
      <c r="H51" s="51"/>
      <c r="I51" s="49">
        <f t="shared" si="0"/>
        <v>9</v>
      </c>
    </row>
    <row r="52" spans="2:9" ht="13" x14ac:dyDescent="0.3">
      <c r="B52" s="50">
        <v>41</v>
      </c>
      <c r="C52" s="26" t="s">
        <v>142</v>
      </c>
      <c r="D52" s="27" t="s">
        <v>92</v>
      </c>
      <c r="E52" s="51">
        <v>3</v>
      </c>
      <c r="F52" s="51">
        <v>3</v>
      </c>
      <c r="G52" s="51">
        <v>0</v>
      </c>
      <c r="H52" s="51"/>
      <c r="I52" s="49">
        <f t="shared" si="0"/>
        <v>6</v>
      </c>
    </row>
    <row r="53" spans="2:9" ht="13" x14ac:dyDescent="0.3">
      <c r="B53" s="50">
        <v>42</v>
      </c>
      <c r="C53" s="26" t="s">
        <v>143</v>
      </c>
      <c r="D53" s="27" t="s">
        <v>93</v>
      </c>
      <c r="E53" s="51">
        <v>3</v>
      </c>
      <c r="F53" s="51">
        <v>3</v>
      </c>
      <c r="G53" s="51">
        <v>0</v>
      </c>
      <c r="H53" s="51"/>
      <c r="I53" s="49">
        <f t="shared" si="0"/>
        <v>6</v>
      </c>
    </row>
    <row r="54" spans="2:9" ht="13" x14ac:dyDescent="0.3">
      <c r="B54" s="63">
        <v>43</v>
      </c>
      <c r="C54" s="26" t="s">
        <v>144</v>
      </c>
      <c r="D54" s="27" t="s">
        <v>94</v>
      </c>
      <c r="E54" s="51">
        <v>3</v>
      </c>
      <c r="F54" s="51">
        <v>3</v>
      </c>
      <c r="G54" s="51">
        <v>0</v>
      </c>
      <c r="H54" s="51"/>
      <c r="I54" s="49">
        <f t="shared" si="0"/>
        <v>6</v>
      </c>
    </row>
    <row r="55" spans="2:9" ht="13" x14ac:dyDescent="0.3">
      <c r="B55" s="50">
        <v>44</v>
      </c>
      <c r="C55" s="26" t="s">
        <v>145</v>
      </c>
      <c r="D55" s="27" t="s">
        <v>95</v>
      </c>
      <c r="E55" s="51">
        <v>3</v>
      </c>
      <c r="F55" s="51">
        <v>3</v>
      </c>
      <c r="G55" s="51">
        <v>3</v>
      </c>
      <c r="H55" s="51"/>
      <c r="I55" s="49">
        <f t="shared" si="0"/>
        <v>9</v>
      </c>
    </row>
    <row r="56" spans="2:9" ht="13" x14ac:dyDescent="0.3">
      <c r="B56" s="50">
        <v>45</v>
      </c>
      <c r="C56" s="26" t="s">
        <v>146</v>
      </c>
      <c r="D56" s="27" t="s">
        <v>96</v>
      </c>
      <c r="E56" s="51">
        <v>3</v>
      </c>
      <c r="F56" s="51">
        <v>3</v>
      </c>
      <c r="G56" s="51">
        <v>3</v>
      </c>
      <c r="H56" s="51"/>
      <c r="I56" s="49">
        <f t="shared" si="0"/>
        <v>9</v>
      </c>
    </row>
    <row r="57" spans="2:9" ht="13" x14ac:dyDescent="0.3">
      <c r="B57" s="63">
        <v>46</v>
      </c>
      <c r="C57" s="26" t="s">
        <v>147</v>
      </c>
      <c r="D57" s="27" t="s">
        <v>97</v>
      </c>
      <c r="E57" s="51">
        <v>3</v>
      </c>
      <c r="F57" s="51">
        <v>3</v>
      </c>
      <c r="G57" s="51">
        <v>3</v>
      </c>
      <c r="H57" s="51"/>
      <c r="I57" s="49">
        <f t="shared" si="0"/>
        <v>9</v>
      </c>
    </row>
    <row r="58" spans="2:9" ht="13" x14ac:dyDescent="0.3">
      <c r="B58" s="50">
        <v>47</v>
      </c>
      <c r="C58" s="26" t="s">
        <v>148</v>
      </c>
      <c r="D58" s="27" t="s">
        <v>98</v>
      </c>
      <c r="E58" s="51">
        <v>3</v>
      </c>
      <c r="F58" s="51">
        <v>3</v>
      </c>
      <c r="G58" s="51">
        <v>3</v>
      </c>
      <c r="H58" s="51"/>
      <c r="I58" s="49">
        <f t="shared" si="0"/>
        <v>9</v>
      </c>
    </row>
    <row r="59" spans="2:9" ht="13" x14ac:dyDescent="0.3">
      <c r="B59" s="50">
        <v>48</v>
      </c>
      <c r="C59" s="26" t="s">
        <v>149</v>
      </c>
      <c r="D59" s="27" t="s">
        <v>99</v>
      </c>
      <c r="E59" s="51">
        <v>3</v>
      </c>
      <c r="F59" s="51">
        <v>3</v>
      </c>
      <c r="G59" s="51">
        <v>3</v>
      </c>
      <c r="H59" s="51"/>
      <c r="I59" s="49">
        <f t="shared" si="0"/>
        <v>9</v>
      </c>
    </row>
    <row r="60" spans="2:9" ht="13" x14ac:dyDescent="0.3">
      <c r="B60" s="63">
        <v>49</v>
      </c>
      <c r="C60" s="28" t="s">
        <v>150</v>
      </c>
      <c r="D60" s="27" t="s">
        <v>100</v>
      </c>
      <c r="E60" s="51">
        <v>0</v>
      </c>
      <c r="F60" s="51">
        <v>0</v>
      </c>
      <c r="G60" s="51">
        <v>3</v>
      </c>
      <c r="H60" s="51"/>
      <c r="I60" s="49">
        <f t="shared" si="0"/>
        <v>3</v>
      </c>
    </row>
    <row r="61" spans="2:9" ht="13" x14ac:dyDescent="0.3">
      <c r="B61" s="50">
        <v>50</v>
      </c>
      <c r="C61" s="29" t="s">
        <v>151</v>
      </c>
      <c r="D61" s="27" t="s">
        <v>101</v>
      </c>
      <c r="E61" s="51">
        <v>3</v>
      </c>
      <c r="F61" s="51">
        <v>3</v>
      </c>
      <c r="G61" s="51">
        <v>3</v>
      </c>
      <c r="H61" s="51"/>
      <c r="I61" s="49">
        <f t="shared" si="0"/>
        <v>9</v>
      </c>
    </row>
    <row r="62" spans="2:9" ht="13" x14ac:dyDescent="0.3">
      <c r="B62" s="50">
        <v>51</v>
      </c>
      <c r="C62" s="26" t="s">
        <v>152</v>
      </c>
      <c r="D62" s="27" t="s">
        <v>102</v>
      </c>
      <c r="E62" s="51">
        <v>0</v>
      </c>
      <c r="F62" s="51">
        <v>3</v>
      </c>
      <c r="G62" s="51">
        <v>3</v>
      </c>
      <c r="H62" s="51"/>
      <c r="I62" s="49">
        <f t="shared" si="0"/>
        <v>6</v>
      </c>
    </row>
    <row r="63" spans="2:9" ht="13" x14ac:dyDescent="0.3">
      <c r="B63" s="63">
        <v>52</v>
      </c>
      <c r="C63" s="30"/>
      <c r="D63" s="30"/>
      <c r="E63" s="51"/>
      <c r="F63" s="51"/>
      <c r="G63" s="51"/>
      <c r="H63" s="51"/>
      <c r="I63" s="49">
        <f t="shared" si="0"/>
        <v>0</v>
      </c>
    </row>
    <row r="64" spans="2:9" ht="13" x14ac:dyDescent="0.3">
      <c r="B64" s="50">
        <v>53</v>
      </c>
      <c r="C64" s="30"/>
      <c r="D64" s="30"/>
      <c r="E64" s="51"/>
      <c r="F64" s="51"/>
      <c r="G64" s="51"/>
      <c r="H64" s="51"/>
      <c r="I64" s="49">
        <f t="shared" si="0"/>
        <v>0</v>
      </c>
    </row>
    <row r="65" spans="2:9" ht="13" x14ac:dyDescent="0.3">
      <c r="B65" s="50">
        <v>54</v>
      </c>
      <c r="C65" s="30"/>
      <c r="D65" s="30"/>
      <c r="E65" s="51"/>
      <c r="F65" s="51"/>
      <c r="G65" s="51"/>
      <c r="H65" s="51"/>
      <c r="I65" s="49">
        <f t="shared" si="0"/>
        <v>0</v>
      </c>
    </row>
    <row r="66" spans="2:9" ht="13" x14ac:dyDescent="0.3">
      <c r="B66" s="63">
        <v>55</v>
      </c>
      <c r="C66" s="30"/>
      <c r="D66" s="30"/>
      <c r="E66" s="51"/>
      <c r="F66" s="51"/>
      <c r="G66" s="51"/>
      <c r="H66" s="51"/>
      <c r="I66" s="49">
        <f t="shared" si="0"/>
        <v>0</v>
      </c>
    </row>
    <row r="67" spans="2:9" ht="13" x14ac:dyDescent="0.3">
      <c r="B67" s="50">
        <v>56</v>
      </c>
      <c r="C67" s="30"/>
      <c r="D67" s="30"/>
      <c r="E67" s="51"/>
      <c r="F67" s="51"/>
      <c r="G67" s="51"/>
      <c r="H67" s="51"/>
      <c r="I67" s="49">
        <f t="shared" si="0"/>
        <v>0</v>
      </c>
    </row>
    <row r="68" spans="2:9" ht="13" x14ac:dyDescent="0.3">
      <c r="B68" s="50">
        <v>57</v>
      </c>
      <c r="C68" s="30"/>
      <c r="D68" s="30"/>
      <c r="E68" s="51"/>
      <c r="F68" s="51"/>
      <c r="G68" s="51"/>
      <c r="H68" s="51"/>
      <c r="I68" s="49">
        <f t="shared" si="0"/>
        <v>0</v>
      </c>
    </row>
    <row r="69" spans="2:9" ht="13" x14ac:dyDescent="0.3">
      <c r="B69" s="63">
        <v>58</v>
      </c>
      <c r="C69" s="30"/>
      <c r="D69" s="30"/>
      <c r="E69" s="51"/>
      <c r="F69" s="51"/>
      <c r="G69" s="51"/>
      <c r="H69" s="51"/>
      <c r="I69" s="49">
        <f t="shared" si="0"/>
        <v>0</v>
      </c>
    </row>
    <row r="70" spans="2:9" ht="13" x14ac:dyDescent="0.3">
      <c r="B70" s="50">
        <v>59</v>
      </c>
      <c r="C70" s="30"/>
      <c r="D70" s="30"/>
      <c r="E70" s="51"/>
      <c r="F70" s="51"/>
      <c r="G70" s="51"/>
      <c r="H70" s="51"/>
      <c r="I70" s="49">
        <f t="shared" si="0"/>
        <v>0</v>
      </c>
    </row>
    <row r="71" spans="2:9" ht="13" x14ac:dyDescent="0.3">
      <c r="B71" s="50">
        <v>60</v>
      </c>
      <c r="C71" s="30"/>
      <c r="D71" s="30"/>
      <c r="E71" s="51"/>
      <c r="F71" s="51"/>
      <c r="G71" s="51"/>
      <c r="H71" s="51"/>
      <c r="I71" s="21">
        <f t="shared" si="0"/>
        <v>0</v>
      </c>
    </row>
    <row r="72" spans="2:9" x14ac:dyDescent="0.25">
      <c r="B72" s="8"/>
      <c r="C72" s="4"/>
      <c r="E72" s="33"/>
      <c r="F72" s="112"/>
      <c r="G72" s="9"/>
    </row>
    <row r="74" spans="2:9" ht="13" x14ac:dyDescent="0.3">
      <c r="B74" s="69" t="s">
        <v>15</v>
      </c>
      <c r="C74" s="70"/>
      <c r="D74" s="70"/>
      <c r="E74" s="70"/>
      <c r="F74" s="70"/>
      <c r="G74" s="70"/>
      <c r="H74" s="70"/>
      <c r="I74" s="70"/>
    </row>
  </sheetData>
  <mergeCells count="16">
    <mergeCell ref="A1:J1"/>
    <mergeCell ref="E5:I5"/>
    <mergeCell ref="E3:I3"/>
    <mergeCell ref="E4:I4"/>
    <mergeCell ref="E6:I6"/>
    <mergeCell ref="B74:I74"/>
    <mergeCell ref="B2:I2"/>
    <mergeCell ref="C9:C11"/>
    <mergeCell ref="D9:D11"/>
    <mergeCell ref="B9:B11"/>
    <mergeCell ref="C3:D3"/>
    <mergeCell ref="C4:D4"/>
    <mergeCell ref="C5:D5"/>
    <mergeCell ref="C6:D6"/>
    <mergeCell ref="C7:D7"/>
    <mergeCell ref="E7:I7"/>
  </mergeCells>
  <printOptions horizontalCentered="1" verticalCentered="1"/>
  <pageMargins left="0.5" right="0.45" top="0" bottom="0" header="0" footer="0"/>
  <pageSetup paperSize="9" scale="115" orientation="portrait" r:id="rId1"/>
  <colBreaks count="1" manualBreakCount="1">
    <brk id="13" min="1" max="81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74"/>
  <sheetViews>
    <sheetView tabSelected="1" view="pageBreakPreview" zoomScale="130" zoomScaleSheetLayoutView="130" workbookViewId="0">
      <selection activeCell="G15" sqref="G15"/>
    </sheetView>
  </sheetViews>
  <sheetFormatPr defaultRowHeight="12.5" x14ac:dyDescent="0.25"/>
  <cols>
    <col min="1" max="1" width="4.81640625" style="1" customWidth="1"/>
    <col min="2" max="2" width="19.54296875" style="1" customWidth="1"/>
    <col min="3" max="3" width="7.7265625" style="4" customWidth="1"/>
    <col min="4" max="6" width="7.26953125" style="4" bestFit="1" customWidth="1"/>
    <col min="7" max="7" width="8.08984375" style="4" bestFit="1" customWidth="1"/>
    <col min="8" max="8" width="8.08984375" style="57" bestFit="1" customWidth="1"/>
    <col min="9" max="9" width="6" style="4" customWidth="1"/>
    <col min="10" max="16384" width="8.7265625" style="4"/>
  </cols>
  <sheetData>
    <row r="1" spans="1:30" ht="15.5" x14ac:dyDescent="0.35">
      <c r="A1" s="86" t="s">
        <v>5</v>
      </c>
      <c r="B1" s="87"/>
      <c r="C1" s="87"/>
      <c r="D1" s="87"/>
      <c r="E1" s="87"/>
      <c r="F1" s="87"/>
      <c r="G1" s="87"/>
      <c r="H1" s="87"/>
      <c r="I1" s="87"/>
    </row>
    <row r="2" spans="1:30" ht="15.75" customHeight="1" x14ac:dyDescent="0.4">
      <c r="A2" s="78" t="s">
        <v>26</v>
      </c>
      <c r="B2" s="78"/>
      <c r="C2" s="78"/>
      <c r="D2" s="78"/>
      <c r="E2" s="78"/>
      <c r="F2" s="78"/>
      <c r="G2" s="78"/>
      <c r="H2" s="78"/>
      <c r="I2" s="78"/>
    </row>
    <row r="3" spans="1:30" ht="12.65" customHeight="1" x14ac:dyDescent="0.35">
      <c r="A3" s="37"/>
      <c r="B3" s="80" t="s">
        <v>28</v>
      </c>
      <c r="C3" s="80"/>
      <c r="D3" s="81" t="s">
        <v>30</v>
      </c>
      <c r="E3" s="81"/>
      <c r="F3" s="81"/>
      <c r="G3" s="81"/>
      <c r="H3" s="81"/>
      <c r="I3" s="37"/>
    </row>
    <row r="4" spans="1:30" ht="12.65" customHeight="1" x14ac:dyDescent="0.35">
      <c r="A4" s="38"/>
      <c r="B4" s="80" t="s">
        <v>27</v>
      </c>
      <c r="C4" s="80"/>
      <c r="D4" s="82" t="s">
        <v>155</v>
      </c>
      <c r="E4" s="82"/>
      <c r="F4" s="82"/>
      <c r="G4" s="82"/>
      <c r="H4" s="82"/>
      <c r="I4" s="38"/>
    </row>
    <row r="5" spans="1:30" ht="12.65" customHeight="1" x14ac:dyDescent="0.35">
      <c r="A5" s="38"/>
      <c r="B5" s="80" t="s">
        <v>25</v>
      </c>
      <c r="C5" s="80"/>
      <c r="D5" s="82" t="s">
        <v>154</v>
      </c>
      <c r="E5" s="82"/>
      <c r="F5" s="82"/>
      <c r="G5" s="82"/>
      <c r="H5" s="82"/>
      <c r="I5" s="38"/>
    </row>
    <row r="6" spans="1:30" ht="12.65" customHeight="1" x14ac:dyDescent="0.35">
      <c r="A6" s="37"/>
      <c r="B6" s="80" t="s">
        <v>50</v>
      </c>
      <c r="C6" s="80"/>
      <c r="D6" s="82" t="s">
        <v>41</v>
      </c>
      <c r="E6" s="82"/>
      <c r="F6" s="82"/>
      <c r="G6" s="82"/>
      <c r="H6" s="82"/>
      <c r="I6" s="37"/>
    </row>
    <row r="7" spans="1:30" ht="12.65" customHeight="1" x14ac:dyDescent="0.35">
      <c r="A7" s="37"/>
      <c r="B7" s="80" t="s">
        <v>29</v>
      </c>
      <c r="C7" s="80"/>
      <c r="D7" s="81" t="s">
        <v>44</v>
      </c>
      <c r="E7" s="81"/>
      <c r="F7" s="81"/>
      <c r="G7" s="81"/>
      <c r="H7" s="81"/>
      <c r="I7" s="37"/>
    </row>
    <row r="8" spans="1:30" ht="13.9" customHeight="1" x14ac:dyDescent="0.25">
      <c r="A8" s="39"/>
      <c r="B8" s="39"/>
      <c r="C8" s="39"/>
      <c r="D8" s="39"/>
      <c r="E8" s="39"/>
      <c r="F8" s="39"/>
      <c r="G8" s="39"/>
      <c r="H8" s="40"/>
      <c r="I8" s="39"/>
    </row>
    <row r="9" spans="1:30" ht="19.5" customHeight="1" x14ac:dyDescent="0.25">
      <c r="A9" s="88" t="s">
        <v>7</v>
      </c>
      <c r="B9" s="71" t="s">
        <v>2</v>
      </c>
      <c r="C9" s="74" t="s">
        <v>1</v>
      </c>
      <c r="D9" s="60" t="s">
        <v>21</v>
      </c>
      <c r="E9" s="60" t="s">
        <v>22</v>
      </c>
      <c r="F9" s="60" t="s">
        <v>23</v>
      </c>
      <c r="G9" s="62" t="s">
        <v>24</v>
      </c>
      <c r="H9" s="113" t="s">
        <v>48</v>
      </c>
      <c r="I9" s="42" t="s">
        <v>0</v>
      </c>
    </row>
    <row r="10" spans="1:30" ht="14.5" customHeight="1" x14ac:dyDescent="0.25">
      <c r="A10" s="88"/>
      <c r="B10" s="72"/>
      <c r="C10" s="75"/>
      <c r="D10" s="44">
        <v>45749</v>
      </c>
      <c r="E10" s="44">
        <v>45756</v>
      </c>
      <c r="F10" s="44">
        <v>45763</v>
      </c>
      <c r="G10" s="44">
        <v>45770</v>
      </c>
      <c r="H10" s="45">
        <v>45777</v>
      </c>
      <c r="I10" s="46"/>
    </row>
    <row r="11" spans="1:30" ht="15" x14ac:dyDescent="0.3">
      <c r="A11" s="88"/>
      <c r="B11" s="73"/>
      <c r="C11" s="76"/>
      <c r="D11" s="16">
        <v>3</v>
      </c>
      <c r="E11" s="47">
        <v>3</v>
      </c>
      <c r="F11" s="47">
        <v>3</v>
      </c>
      <c r="G11" s="47">
        <v>3</v>
      </c>
      <c r="H11" s="48">
        <v>3</v>
      </c>
      <c r="I11" s="49">
        <f>D11+E11+F11+G11+H11</f>
        <v>15</v>
      </c>
    </row>
    <row r="12" spans="1:30" ht="13" x14ac:dyDescent="0.3">
      <c r="A12" s="50">
        <v>1</v>
      </c>
      <c r="B12" s="26" t="s">
        <v>103</v>
      </c>
      <c r="C12" s="27" t="s">
        <v>52</v>
      </c>
      <c r="D12" s="51"/>
      <c r="E12" s="51"/>
      <c r="F12" s="51">
        <v>3</v>
      </c>
      <c r="G12" s="51"/>
      <c r="H12" s="51">
        <v>3</v>
      </c>
      <c r="I12" s="49">
        <f t="shared" ref="I12:I71" si="0">D12+E12+F12+G12+H12</f>
        <v>6</v>
      </c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3"/>
    </row>
    <row r="13" spans="1:30" ht="13" x14ac:dyDescent="0.3">
      <c r="A13" s="50">
        <v>2</v>
      </c>
      <c r="B13" s="26" t="s">
        <v>104</v>
      </c>
      <c r="C13" s="27" t="s">
        <v>53</v>
      </c>
      <c r="D13" s="51"/>
      <c r="E13" s="51"/>
      <c r="F13" s="51">
        <v>0</v>
      </c>
      <c r="G13" s="51"/>
      <c r="H13" s="51">
        <v>3</v>
      </c>
      <c r="I13" s="49">
        <f t="shared" si="0"/>
        <v>3</v>
      </c>
    </row>
    <row r="14" spans="1:30" ht="13" x14ac:dyDescent="0.3">
      <c r="A14" s="50">
        <v>3</v>
      </c>
      <c r="B14" s="26" t="s">
        <v>105</v>
      </c>
      <c r="C14" s="27" t="s">
        <v>54</v>
      </c>
      <c r="D14" s="51"/>
      <c r="E14" s="51"/>
      <c r="F14" s="51">
        <v>0</v>
      </c>
      <c r="G14" s="51"/>
      <c r="H14" s="51">
        <v>3</v>
      </c>
      <c r="I14" s="49">
        <f t="shared" si="0"/>
        <v>3</v>
      </c>
    </row>
    <row r="15" spans="1:30" ht="13" x14ac:dyDescent="0.3">
      <c r="A15" s="50">
        <v>4</v>
      </c>
      <c r="B15" s="26" t="s">
        <v>106</v>
      </c>
      <c r="C15" s="27" t="s">
        <v>55</v>
      </c>
      <c r="D15" s="51"/>
      <c r="E15" s="51"/>
      <c r="F15" s="51">
        <v>3</v>
      </c>
      <c r="G15" s="51"/>
      <c r="H15" s="51">
        <v>3</v>
      </c>
      <c r="I15" s="49">
        <f t="shared" si="0"/>
        <v>6</v>
      </c>
    </row>
    <row r="16" spans="1:30" ht="13" x14ac:dyDescent="0.3">
      <c r="A16" s="50">
        <v>5</v>
      </c>
      <c r="B16" s="26" t="s">
        <v>107</v>
      </c>
      <c r="C16" s="27" t="s">
        <v>56</v>
      </c>
      <c r="D16" s="51"/>
      <c r="E16" s="51"/>
      <c r="F16" s="51">
        <v>3</v>
      </c>
      <c r="G16" s="51"/>
      <c r="H16" s="51">
        <v>3</v>
      </c>
      <c r="I16" s="49">
        <f t="shared" si="0"/>
        <v>6</v>
      </c>
    </row>
    <row r="17" spans="1:9" ht="13" x14ac:dyDescent="0.3">
      <c r="A17" s="50">
        <v>6</v>
      </c>
      <c r="B17" s="26" t="s">
        <v>108</v>
      </c>
      <c r="C17" s="27" t="s">
        <v>57</v>
      </c>
      <c r="D17" s="51"/>
      <c r="E17" s="51"/>
      <c r="F17" s="51">
        <v>3</v>
      </c>
      <c r="G17" s="51"/>
      <c r="H17" s="51">
        <v>3</v>
      </c>
      <c r="I17" s="49">
        <f t="shared" si="0"/>
        <v>6</v>
      </c>
    </row>
    <row r="18" spans="1:9" ht="13" x14ac:dyDescent="0.3">
      <c r="A18" s="50">
        <v>7</v>
      </c>
      <c r="B18" s="26" t="s">
        <v>109</v>
      </c>
      <c r="C18" s="27" t="s">
        <v>58</v>
      </c>
      <c r="D18" s="51"/>
      <c r="E18" s="51"/>
      <c r="F18" s="51">
        <v>0</v>
      </c>
      <c r="G18" s="51"/>
      <c r="H18" s="51">
        <v>3</v>
      </c>
      <c r="I18" s="49">
        <f t="shared" si="0"/>
        <v>3</v>
      </c>
    </row>
    <row r="19" spans="1:9" ht="13" x14ac:dyDescent="0.3">
      <c r="A19" s="50">
        <v>8</v>
      </c>
      <c r="B19" s="26" t="s">
        <v>110</v>
      </c>
      <c r="C19" s="27" t="s">
        <v>59</v>
      </c>
      <c r="D19" s="51"/>
      <c r="E19" s="51"/>
      <c r="F19" s="51">
        <v>3</v>
      </c>
      <c r="G19" s="51"/>
      <c r="H19" s="51">
        <v>3</v>
      </c>
      <c r="I19" s="49">
        <f t="shared" si="0"/>
        <v>6</v>
      </c>
    </row>
    <row r="20" spans="1:9" ht="13" x14ac:dyDescent="0.3">
      <c r="A20" s="50">
        <v>9</v>
      </c>
      <c r="B20" s="26" t="s">
        <v>111</v>
      </c>
      <c r="C20" s="27" t="s">
        <v>60</v>
      </c>
      <c r="D20" s="51"/>
      <c r="E20" s="51"/>
      <c r="F20" s="51">
        <v>0</v>
      </c>
      <c r="G20" s="51"/>
      <c r="H20" s="51">
        <v>0</v>
      </c>
      <c r="I20" s="49">
        <f t="shared" si="0"/>
        <v>0</v>
      </c>
    </row>
    <row r="21" spans="1:9" ht="13" x14ac:dyDescent="0.3">
      <c r="A21" s="50">
        <v>10</v>
      </c>
      <c r="B21" s="26" t="s">
        <v>112</v>
      </c>
      <c r="C21" s="27" t="s">
        <v>61</v>
      </c>
      <c r="D21" s="51"/>
      <c r="E21" s="51"/>
      <c r="F21" s="51">
        <v>3</v>
      </c>
      <c r="G21" s="51"/>
      <c r="H21" s="51">
        <v>3</v>
      </c>
      <c r="I21" s="49">
        <f t="shared" si="0"/>
        <v>6</v>
      </c>
    </row>
    <row r="22" spans="1:9" ht="13" x14ac:dyDescent="0.3">
      <c r="A22" s="50">
        <v>11</v>
      </c>
      <c r="B22" s="26" t="s">
        <v>113</v>
      </c>
      <c r="C22" s="27" t="s">
        <v>62</v>
      </c>
      <c r="D22" s="51"/>
      <c r="E22" s="51"/>
      <c r="F22" s="51">
        <v>3</v>
      </c>
      <c r="G22" s="51"/>
      <c r="H22" s="51">
        <v>3</v>
      </c>
      <c r="I22" s="49">
        <f t="shared" si="0"/>
        <v>6</v>
      </c>
    </row>
    <row r="23" spans="1:9" ht="13" x14ac:dyDescent="0.3">
      <c r="A23" s="50">
        <v>12</v>
      </c>
      <c r="B23" s="26" t="s">
        <v>114</v>
      </c>
      <c r="C23" s="27" t="s">
        <v>63</v>
      </c>
      <c r="D23" s="51"/>
      <c r="E23" s="51"/>
      <c r="F23" s="51">
        <v>0</v>
      </c>
      <c r="G23" s="51"/>
      <c r="H23" s="51">
        <v>3</v>
      </c>
      <c r="I23" s="49">
        <f t="shared" si="0"/>
        <v>3</v>
      </c>
    </row>
    <row r="24" spans="1:9" ht="13" x14ac:dyDescent="0.3">
      <c r="A24" s="50">
        <v>13</v>
      </c>
      <c r="B24" s="26" t="s">
        <v>115</v>
      </c>
      <c r="C24" s="27" t="s">
        <v>64</v>
      </c>
      <c r="D24" s="51"/>
      <c r="E24" s="51"/>
      <c r="F24" s="51">
        <v>3</v>
      </c>
      <c r="G24" s="51"/>
      <c r="H24" s="51">
        <v>3</v>
      </c>
      <c r="I24" s="49">
        <f t="shared" si="0"/>
        <v>6</v>
      </c>
    </row>
    <row r="25" spans="1:9" ht="13" x14ac:dyDescent="0.3">
      <c r="A25" s="50">
        <v>14</v>
      </c>
      <c r="B25" s="26" t="s">
        <v>116</v>
      </c>
      <c r="C25" s="27" t="s">
        <v>65</v>
      </c>
      <c r="D25" s="51"/>
      <c r="E25" s="51"/>
      <c r="F25" s="51">
        <v>3</v>
      </c>
      <c r="G25" s="51"/>
      <c r="H25" s="51">
        <v>3</v>
      </c>
      <c r="I25" s="49">
        <f t="shared" si="0"/>
        <v>6</v>
      </c>
    </row>
    <row r="26" spans="1:9" ht="13" x14ac:dyDescent="0.3">
      <c r="A26" s="50">
        <v>15</v>
      </c>
      <c r="B26" s="26" t="s">
        <v>117</v>
      </c>
      <c r="C26" s="27" t="s">
        <v>66</v>
      </c>
      <c r="D26" s="51"/>
      <c r="E26" s="51"/>
      <c r="F26" s="51">
        <v>3</v>
      </c>
      <c r="G26" s="51"/>
      <c r="H26" s="51">
        <v>0</v>
      </c>
      <c r="I26" s="49">
        <f t="shared" si="0"/>
        <v>3</v>
      </c>
    </row>
    <row r="27" spans="1:9" ht="13" x14ac:dyDescent="0.3">
      <c r="A27" s="50">
        <v>16</v>
      </c>
      <c r="B27" s="26" t="s">
        <v>118</v>
      </c>
      <c r="C27" s="27" t="s">
        <v>67</v>
      </c>
      <c r="D27" s="51"/>
      <c r="E27" s="51"/>
      <c r="F27" s="51">
        <v>3</v>
      </c>
      <c r="G27" s="51"/>
      <c r="H27" s="51">
        <v>3</v>
      </c>
      <c r="I27" s="49">
        <f t="shared" si="0"/>
        <v>6</v>
      </c>
    </row>
    <row r="28" spans="1:9" ht="13" x14ac:dyDescent="0.3">
      <c r="A28" s="50">
        <v>17</v>
      </c>
      <c r="B28" s="26" t="s">
        <v>119</v>
      </c>
      <c r="C28" s="27" t="s">
        <v>68</v>
      </c>
      <c r="D28" s="51"/>
      <c r="E28" s="51"/>
      <c r="F28" s="51">
        <v>0</v>
      </c>
      <c r="G28" s="51"/>
      <c r="H28" s="51">
        <v>3</v>
      </c>
      <c r="I28" s="49">
        <f t="shared" si="0"/>
        <v>3</v>
      </c>
    </row>
    <row r="29" spans="1:9" ht="13" x14ac:dyDescent="0.3">
      <c r="A29" s="50">
        <v>18</v>
      </c>
      <c r="B29" s="26" t="s">
        <v>120</v>
      </c>
      <c r="C29" s="27" t="s">
        <v>69</v>
      </c>
      <c r="D29" s="51"/>
      <c r="E29" s="51"/>
      <c r="F29" s="51">
        <v>3</v>
      </c>
      <c r="G29" s="51"/>
      <c r="H29" s="51">
        <v>3</v>
      </c>
      <c r="I29" s="49">
        <f t="shared" si="0"/>
        <v>6</v>
      </c>
    </row>
    <row r="30" spans="1:9" ht="13" x14ac:dyDescent="0.3">
      <c r="A30" s="50">
        <v>19</v>
      </c>
      <c r="B30" s="26" t="s">
        <v>121</v>
      </c>
      <c r="C30" s="27" t="s">
        <v>70</v>
      </c>
      <c r="D30" s="51"/>
      <c r="E30" s="51"/>
      <c r="F30" s="51">
        <v>3</v>
      </c>
      <c r="G30" s="51"/>
      <c r="H30" s="51">
        <v>0</v>
      </c>
      <c r="I30" s="49">
        <f t="shared" si="0"/>
        <v>3</v>
      </c>
    </row>
    <row r="31" spans="1:9" ht="13" x14ac:dyDescent="0.3">
      <c r="A31" s="50">
        <v>20</v>
      </c>
      <c r="B31" s="26" t="s">
        <v>122</v>
      </c>
      <c r="C31" s="27" t="s">
        <v>71</v>
      </c>
      <c r="D31" s="51"/>
      <c r="E31" s="51"/>
      <c r="F31" s="51">
        <v>3</v>
      </c>
      <c r="G31" s="51"/>
      <c r="H31" s="51">
        <v>0</v>
      </c>
      <c r="I31" s="49">
        <f t="shared" si="0"/>
        <v>3</v>
      </c>
    </row>
    <row r="32" spans="1:9" ht="13" x14ac:dyDescent="0.3">
      <c r="A32" s="50">
        <v>21</v>
      </c>
      <c r="B32" s="26" t="s">
        <v>123</v>
      </c>
      <c r="C32" s="27" t="s">
        <v>72</v>
      </c>
      <c r="D32" s="51"/>
      <c r="E32" s="51"/>
      <c r="F32" s="51">
        <v>3</v>
      </c>
      <c r="G32" s="51"/>
      <c r="H32" s="51">
        <v>3</v>
      </c>
      <c r="I32" s="49">
        <f t="shared" si="0"/>
        <v>6</v>
      </c>
    </row>
    <row r="33" spans="1:9" ht="13" x14ac:dyDescent="0.3">
      <c r="A33" s="50">
        <v>22</v>
      </c>
      <c r="B33" s="26" t="s">
        <v>124</v>
      </c>
      <c r="C33" s="27" t="s">
        <v>73</v>
      </c>
      <c r="D33" s="51"/>
      <c r="E33" s="51"/>
      <c r="F33" s="51">
        <v>3</v>
      </c>
      <c r="G33" s="51"/>
      <c r="H33" s="51">
        <v>3</v>
      </c>
      <c r="I33" s="49">
        <f t="shared" si="0"/>
        <v>6</v>
      </c>
    </row>
    <row r="34" spans="1:9" ht="13" x14ac:dyDescent="0.3">
      <c r="A34" s="50">
        <v>23</v>
      </c>
      <c r="B34" s="26" t="s">
        <v>125</v>
      </c>
      <c r="C34" s="27" t="s">
        <v>74</v>
      </c>
      <c r="D34" s="51"/>
      <c r="E34" s="51"/>
      <c r="F34" s="51">
        <v>3</v>
      </c>
      <c r="G34" s="51"/>
      <c r="H34" s="51">
        <v>3</v>
      </c>
      <c r="I34" s="49">
        <f t="shared" si="0"/>
        <v>6</v>
      </c>
    </row>
    <row r="35" spans="1:9" ht="13" x14ac:dyDescent="0.3">
      <c r="A35" s="50">
        <v>24</v>
      </c>
      <c r="B35" s="26" t="s">
        <v>126</v>
      </c>
      <c r="C35" s="27" t="s">
        <v>75</v>
      </c>
      <c r="D35" s="51"/>
      <c r="E35" s="51"/>
      <c r="F35" s="51">
        <v>3</v>
      </c>
      <c r="G35" s="51"/>
      <c r="H35" s="51">
        <v>3</v>
      </c>
      <c r="I35" s="49">
        <f t="shared" si="0"/>
        <v>6</v>
      </c>
    </row>
    <row r="36" spans="1:9" ht="13" x14ac:dyDescent="0.3">
      <c r="A36" s="50">
        <v>25</v>
      </c>
      <c r="B36" s="26" t="s">
        <v>105</v>
      </c>
      <c r="C36" s="27" t="s">
        <v>76</v>
      </c>
      <c r="D36" s="51"/>
      <c r="E36" s="51"/>
      <c r="F36" s="51">
        <v>3</v>
      </c>
      <c r="G36" s="51"/>
      <c r="H36" s="51">
        <v>3</v>
      </c>
      <c r="I36" s="49">
        <f t="shared" si="0"/>
        <v>6</v>
      </c>
    </row>
    <row r="37" spans="1:9" ht="13" x14ac:dyDescent="0.3">
      <c r="A37" s="50">
        <v>26</v>
      </c>
      <c r="B37" s="26" t="s">
        <v>127</v>
      </c>
      <c r="C37" s="27" t="s">
        <v>77</v>
      </c>
      <c r="D37" s="51"/>
      <c r="E37" s="51"/>
      <c r="F37" s="51">
        <v>3</v>
      </c>
      <c r="G37" s="51"/>
      <c r="H37" s="51">
        <v>3</v>
      </c>
      <c r="I37" s="49">
        <f t="shared" si="0"/>
        <v>6</v>
      </c>
    </row>
    <row r="38" spans="1:9" ht="13" x14ac:dyDescent="0.3">
      <c r="A38" s="50">
        <v>27</v>
      </c>
      <c r="B38" s="26" t="s">
        <v>128</v>
      </c>
      <c r="C38" s="27" t="s">
        <v>78</v>
      </c>
      <c r="D38" s="51"/>
      <c r="E38" s="51"/>
      <c r="F38" s="51">
        <v>0</v>
      </c>
      <c r="G38" s="51"/>
      <c r="H38" s="51">
        <v>3</v>
      </c>
      <c r="I38" s="49">
        <f t="shared" si="0"/>
        <v>3</v>
      </c>
    </row>
    <row r="39" spans="1:9" ht="13" x14ac:dyDescent="0.3">
      <c r="A39" s="50">
        <v>28</v>
      </c>
      <c r="B39" s="26" t="s">
        <v>129</v>
      </c>
      <c r="C39" s="27" t="s">
        <v>79</v>
      </c>
      <c r="D39" s="51"/>
      <c r="E39" s="51"/>
      <c r="F39" s="51">
        <v>3</v>
      </c>
      <c r="G39" s="51"/>
      <c r="H39" s="51">
        <v>0</v>
      </c>
      <c r="I39" s="49">
        <f t="shared" si="0"/>
        <v>3</v>
      </c>
    </row>
    <row r="40" spans="1:9" ht="13" x14ac:dyDescent="0.3">
      <c r="A40" s="50">
        <v>29</v>
      </c>
      <c r="B40" s="26" t="s">
        <v>130</v>
      </c>
      <c r="C40" s="27" t="s">
        <v>80</v>
      </c>
      <c r="D40" s="51"/>
      <c r="E40" s="51"/>
      <c r="F40" s="51">
        <v>0</v>
      </c>
      <c r="G40" s="51"/>
      <c r="H40" s="51">
        <v>3</v>
      </c>
      <c r="I40" s="49">
        <f t="shared" si="0"/>
        <v>3</v>
      </c>
    </row>
    <row r="41" spans="1:9" ht="13" x14ac:dyDescent="0.3">
      <c r="A41" s="50">
        <v>30</v>
      </c>
      <c r="B41" s="26" t="s">
        <v>131</v>
      </c>
      <c r="C41" s="27" t="s">
        <v>81</v>
      </c>
      <c r="D41" s="51"/>
      <c r="E41" s="51"/>
      <c r="F41" s="51">
        <v>0</v>
      </c>
      <c r="G41" s="51"/>
      <c r="H41" s="51">
        <v>3</v>
      </c>
      <c r="I41" s="49">
        <f t="shared" si="0"/>
        <v>3</v>
      </c>
    </row>
    <row r="42" spans="1:9" ht="13" x14ac:dyDescent="0.3">
      <c r="A42" s="50">
        <v>31</v>
      </c>
      <c r="B42" s="26" t="s">
        <v>132</v>
      </c>
      <c r="C42" s="27" t="s">
        <v>82</v>
      </c>
      <c r="D42" s="51"/>
      <c r="E42" s="51"/>
      <c r="F42" s="51">
        <v>3</v>
      </c>
      <c r="G42" s="51"/>
      <c r="H42" s="51">
        <v>3</v>
      </c>
      <c r="I42" s="49">
        <f t="shared" si="0"/>
        <v>6</v>
      </c>
    </row>
    <row r="43" spans="1:9" ht="13" x14ac:dyDescent="0.3">
      <c r="A43" s="50">
        <v>32</v>
      </c>
      <c r="B43" s="26" t="s">
        <v>133</v>
      </c>
      <c r="C43" s="27" t="s">
        <v>83</v>
      </c>
      <c r="D43" s="51"/>
      <c r="E43" s="51"/>
      <c r="F43" s="51">
        <v>3</v>
      </c>
      <c r="G43" s="51"/>
      <c r="H43" s="51">
        <v>3</v>
      </c>
      <c r="I43" s="49">
        <f t="shared" si="0"/>
        <v>6</v>
      </c>
    </row>
    <row r="44" spans="1:9" ht="13" x14ac:dyDescent="0.3">
      <c r="A44" s="50">
        <v>33</v>
      </c>
      <c r="B44" s="26" t="s">
        <v>134</v>
      </c>
      <c r="C44" s="27" t="s">
        <v>84</v>
      </c>
      <c r="D44" s="51"/>
      <c r="E44" s="51"/>
      <c r="F44" s="51">
        <v>0</v>
      </c>
      <c r="G44" s="51"/>
      <c r="H44" s="51">
        <v>3</v>
      </c>
      <c r="I44" s="49">
        <f t="shared" si="0"/>
        <v>3</v>
      </c>
    </row>
    <row r="45" spans="1:9" ht="13" x14ac:dyDescent="0.3">
      <c r="A45" s="50">
        <v>34</v>
      </c>
      <c r="B45" s="26" t="s">
        <v>135</v>
      </c>
      <c r="C45" s="27" t="s">
        <v>85</v>
      </c>
      <c r="D45" s="51"/>
      <c r="E45" s="51"/>
      <c r="F45" s="51">
        <v>3</v>
      </c>
      <c r="G45" s="51"/>
      <c r="H45" s="51">
        <v>3</v>
      </c>
      <c r="I45" s="49">
        <f t="shared" si="0"/>
        <v>6</v>
      </c>
    </row>
    <row r="46" spans="1:9" ht="13" x14ac:dyDescent="0.3">
      <c r="A46" s="50">
        <v>35</v>
      </c>
      <c r="B46" s="26" t="s">
        <v>136</v>
      </c>
      <c r="C46" s="27" t="s">
        <v>86</v>
      </c>
      <c r="D46" s="51"/>
      <c r="E46" s="51"/>
      <c r="F46" s="51">
        <v>3</v>
      </c>
      <c r="G46" s="51"/>
      <c r="H46" s="51">
        <v>3</v>
      </c>
      <c r="I46" s="49">
        <f t="shared" si="0"/>
        <v>6</v>
      </c>
    </row>
    <row r="47" spans="1:9" ht="13" x14ac:dyDescent="0.3">
      <c r="A47" s="50">
        <v>36</v>
      </c>
      <c r="B47" s="26" t="s">
        <v>137</v>
      </c>
      <c r="C47" s="27" t="s">
        <v>87</v>
      </c>
      <c r="D47" s="51"/>
      <c r="E47" s="51"/>
      <c r="F47" s="51">
        <v>3</v>
      </c>
      <c r="G47" s="51"/>
      <c r="H47" s="51">
        <v>3</v>
      </c>
      <c r="I47" s="49">
        <f t="shared" si="0"/>
        <v>6</v>
      </c>
    </row>
    <row r="48" spans="1:9" ht="13" x14ac:dyDescent="0.3">
      <c r="A48" s="50">
        <v>37</v>
      </c>
      <c r="B48" s="26" t="s">
        <v>138</v>
      </c>
      <c r="C48" s="27" t="s">
        <v>88</v>
      </c>
      <c r="D48" s="51"/>
      <c r="E48" s="51"/>
      <c r="F48" s="51">
        <v>3</v>
      </c>
      <c r="G48" s="51"/>
      <c r="H48" s="51">
        <v>3</v>
      </c>
      <c r="I48" s="49">
        <f t="shared" si="0"/>
        <v>6</v>
      </c>
    </row>
    <row r="49" spans="1:9" ht="13" x14ac:dyDescent="0.3">
      <c r="A49" s="50">
        <v>38</v>
      </c>
      <c r="B49" s="26" t="s">
        <v>139</v>
      </c>
      <c r="C49" s="27" t="s">
        <v>89</v>
      </c>
      <c r="D49" s="51"/>
      <c r="E49" s="51"/>
      <c r="F49" s="51">
        <v>3</v>
      </c>
      <c r="G49" s="51"/>
      <c r="H49" s="51">
        <v>3</v>
      </c>
      <c r="I49" s="49">
        <f t="shared" si="0"/>
        <v>6</v>
      </c>
    </row>
    <row r="50" spans="1:9" ht="13" x14ac:dyDescent="0.3">
      <c r="A50" s="50">
        <v>39</v>
      </c>
      <c r="B50" s="26" t="s">
        <v>140</v>
      </c>
      <c r="C50" s="27" t="s">
        <v>90</v>
      </c>
      <c r="D50" s="51"/>
      <c r="E50" s="51"/>
      <c r="F50" s="51">
        <v>3</v>
      </c>
      <c r="G50" s="51"/>
      <c r="H50" s="51">
        <v>3</v>
      </c>
      <c r="I50" s="49">
        <f t="shared" si="0"/>
        <v>6</v>
      </c>
    </row>
    <row r="51" spans="1:9" ht="13" x14ac:dyDescent="0.3">
      <c r="A51" s="50">
        <v>40</v>
      </c>
      <c r="B51" s="26" t="s">
        <v>141</v>
      </c>
      <c r="C51" s="27" t="s">
        <v>91</v>
      </c>
      <c r="D51" s="51"/>
      <c r="E51" s="51"/>
      <c r="F51" s="51">
        <v>3</v>
      </c>
      <c r="G51" s="51"/>
      <c r="H51" s="51">
        <v>3</v>
      </c>
      <c r="I51" s="49">
        <f t="shared" si="0"/>
        <v>6</v>
      </c>
    </row>
    <row r="52" spans="1:9" ht="13" x14ac:dyDescent="0.3">
      <c r="A52" s="50">
        <v>41</v>
      </c>
      <c r="B52" s="26" t="s">
        <v>142</v>
      </c>
      <c r="C52" s="27" t="s">
        <v>92</v>
      </c>
      <c r="D52" s="51"/>
      <c r="E52" s="51"/>
      <c r="F52" s="51">
        <v>3</v>
      </c>
      <c r="G52" s="51"/>
      <c r="H52" s="51">
        <v>3</v>
      </c>
      <c r="I52" s="49">
        <f t="shared" si="0"/>
        <v>6</v>
      </c>
    </row>
    <row r="53" spans="1:9" ht="13" x14ac:dyDescent="0.3">
      <c r="A53" s="50">
        <v>42</v>
      </c>
      <c r="B53" s="26" t="s">
        <v>143</v>
      </c>
      <c r="C53" s="27" t="s">
        <v>93</v>
      </c>
      <c r="D53" s="51"/>
      <c r="E53" s="51"/>
      <c r="F53" s="51">
        <v>3</v>
      </c>
      <c r="G53" s="51"/>
      <c r="H53" s="51">
        <v>3</v>
      </c>
      <c r="I53" s="49">
        <f t="shared" si="0"/>
        <v>6</v>
      </c>
    </row>
    <row r="54" spans="1:9" ht="13" x14ac:dyDescent="0.3">
      <c r="A54" s="50">
        <v>43</v>
      </c>
      <c r="B54" s="26" t="s">
        <v>144</v>
      </c>
      <c r="C54" s="27" t="s">
        <v>94</v>
      </c>
      <c r="D54" s="51"/>
      <c r="E54" s="51"/>
      <c r="F54" s="51">
        <v>3</v>
      </c>
      <c r="G54" s="51"/>
      <c r="H54" s="51">
        <v>3</v>
      </c>
      <c r="I54" s="49">
        <f t="shared" si="0"/>
        <v>6</v>
      </c>
    </row>
    <row r="55" spans="1:9" ht="13" x14ac:dyDescent="0.3">
      <c r="A55" s="50">
        <v>44</v>
      </c>
      <c r="B55" s="26" t="s">
        <v>145</v>
      </c>
      <c r="C55" s="27" t="s">
        <v>95</v>
      </c>
      <c r="D55" s="51"/>
      <c r="E55" s="51"/>
      <c r="F55" s="51">
        <v>3</v>
      </c>
      <c r="G55" s="51"/>
      <c r="H55" s="51">
        <v>3</v>
      </c>
      <c r="I55" s="49">
        <f t="shared" si="0"/>
        <v>6</v>
      </c>
    </row>
    <row r="56" spans="1:9" ht="13" x14ac:dyDescent="0.3">
      <c r="A56" s="50">
        <v>45</v>
      </c>
      <c r="B56" s="26" t="s">
        <v>146</v>
      </c>
      <c r="C56" s="27" t="s">
        <v>96</v>
      </c>
      <c r="D56" s="51"/>
      <c r="E56" s="51"/>
      <c r="F56" s="51">
        <v>3</v>
      </c>
      <c r="G56" s="51"/>
      <c r="H56" s="51">
        <v>3</v>
      </c>
      <c r="I56" s="49">
        <f t="shared" si="0"/>
        <v>6</v>
      </c>
    </row>
    <row r="57" spans="1:9" ht="13" x14ac:dyDescent="0.3">
      <c r="A57" s="50">
        <v>46</v>
      </c>
      <c r="B57" s="26" t="s">
        <v>147</v>
      </c>
      <c r="C57" s="27" t="s">
        <v>97</v>
      </c>
      <c r="D57" s="51"/>
      <c r="E57" s="51"/>
      <c r="F57" s="51">
        <v>0</v>
      </c>
      <c r="G57" s="51"/>
      <c r="H57" s="51">
        <v>3</v>
      </c>
      <c r="I57" s="49">
        <f t="shared" si="0"/>
        <v>3</v>
      </c>
    </row>
    <row r="58" spans="1:9" ht="13" x14ac:dyDescent="0.3">
      <c r="A58" s="50">
        <v>47</v>
      </c>
      <c r="B58" s="26" t="s">
        <v>148</v>
      </c>
      <c r="C58" s="27" t="s">
        <v>98</v>
      </c>
      <c r="D58" s="51"/>
      <c r="E58" s="51"/>
      <c r="F58" s="51">
        <v>3</v>
      </c>
      <c r="G58" s="51"/>
      <c r="H58" s="51">
        <v>3</v>
      </c>
      <c r="I58" s="49">
        <f t="shared" si="0"/>
        <v>6</v>
      </c>
    </row>
    <row r="59" spans="1:9" ht="13" x14ac:dyDescent="0.3">
      <c r="A59" s="50">
        <v>48</v>
      </c>
      <c r="B59" s="26" t="s">
        <v>149</v>
      </c>
      <c r="C59" s="27" t="s">
        <v>99</v>
      </c>
      <c r="D59" s="51"/>
      <c r="E59" s="51"/>
      <c r="F59" s="51">
        <v>3</v>
      </c>
      <c r="G59" s="51"/>
      <c r="H59" s="51">
        <v>3</v>
      </c>
      <c r="I59" s="49">
        <f t="shared" si="0"/>
        <v>6</v>
      </c>
    </row>
    <row r="60" spans="1:9" ht="13" x14ac:dyDescent="0.3">
      <c r="A60" s="50">
        <v>49</v>
      </c>
      <c r="B60" s="28" t="s">
        <v>150</v>
      </c>
      <c r="C60" s="27" t="s">
        <v>100</v>
      </c>
      <c r="D60" s="51"/>
      <c r="E60" s="51"/>
      <c r="F60" s="51">
        <v>3</v>
      </c>
      <c r="G60" s="51"/>
      <c r="H60" s="51">
        <v>3</v>
      </c>
      <c r="I60" s="49">
        <f t="shared" si="0"/>
        <v>6</v>
      </c>
    </row>
    <row r="61" spans="1:9" ht="13" x14ac:dyDescent="0.3">
      <c r="A61" s="50">
        <v>50</v>
      </c>
      <c r="B61" s="29" t="s">
        <v>151</v>
      </c>
      <c r="C61" s="27" t="s">
        <v>101</v>
      </c>
      <c r="D61" s="51"/>
      <c r="E61" s="51"/>
      <c r="F61" s="51">
        <v>3</v>
      </c>
      <c r="G61" s="51"/>
      <c r="H61" s="51">
        <v>3</v>
      </c>
      <c r="I61" s="49">
        <f t="shared" si="0"/>
        <v>6</v>
      </c>
    </row>
    <row r="62" spans="1:9" ht="13" x14ac:dyDescent="0.3">
      <c r="A62" s="50">
        <v>51</v>
      </c>
      <c r="B62" s="26" t="s">
        <v>152</v>
      </c>
      <c r="C62" s="27" t="s">
        <v>102</v>
      </c>
      <c r="D62" s="51"/>
      <c r="E62" s="53"/>
      <c r="F62" s="51">
        <v>3</v>
      </c>
      <c r="G62" s="55"/>
      <c r="H62" s="51">
        <v>3</v>
      </c>
      <c r="I62" s="49">
        <f t="shared" si="0"/>
        <v>6</v>
      </c>
    </row>
    <row r="63" spans="1:9" ht="13" x14ac:dyDescent="0.3">
      <c r="A63" s="50">
        <v>52</v>
      </c>
      <c r="B63" s="30"/>
      <c r="C63" s="30"/>
      <c r="D63" s="51"/>
      <c r="E63" s="53"/>
      <c r="F63" s="55"/>
      <c r="G63" s="55"/>
      <c r="H63" s="55"/>
      <c r="I63" s="49">
        <f t="shared" si="0"/>
        <v>0</v>
      </c>
    </row>
    <row r="64" spans="1:9" ht="13" x14ac:dyDescent="0.3">
      <c r="A64" s="50">
        <v>53</v>
      </c>
      <c r="B64" s="30"/>
      <c r="C64" s="30"/>
      <c r="D64" s="51"/>
      <c r="E64" s="53"/>
      <c r="F64" s="55"/>
      <c r="G64" s="55"/>
      <c r="H64" s="55"/>
      <c r="I64" s="49">
        <f t="shared" si="0"/>
        <v>0</v>
      </c>
    </row>
    <row r="65" spans="1:9" ht="13" x14ac:dyDescent="0.3">
      <c r="A65" s="50">
        <v>54</v>
      </c>
      <c r="B65" s="30"/>
      <c r="C65" s="30"/>
      <c r="D65" s="51"/>
      <c r="E65" s="53"/>
      <c r="F65" s="55"/>
      <c r="G65" s="55"/>
      <c r="H65" s="55"/>
      <c r="I65" s="49">
        <f t="shared" si="0"/>
        <v>0</v>
      </c>
    </row>
    <row r="66" spans="1:9" ht="13" x14ac:dyDescent="0.3">
      <c r="A66" s="50">
        <v>55</v>
      </c>
      <c r="B66" s="30"/>
      <c r="C66" s="30"/>
      <c r="D66" s="51"/>
      <c r="E66" s="53"/>
      <c r="F66" s="55"/>
      <c r="G66" s="55"/>
      <c r="H66" s="55"/>
      <c r="I66" s="49">
        <f t="shared" si="0"/>
        <v>0</v>
      </c>
    </row>
    <row r="67" spans="1:9" ht="13" x14ac:dyDescent="0.3">
      <c r="A67" s="50">
        <v>56</v>
      </c>
      <c r="B67" s="30"/>
      <c r="C67" s="30"/>
      <c r="D67" s="51"/>
      <c r="E67" s="53"/>
      <c r="F67" s="55"/>
      <c r="G67" s="55"/>
      <c r="H67" s="55"/>
      <c r="I67" s="49">
        <f t="shared" si="0"/>
        <v>0</v>
      </c>
    </row>
    <row r="68" spans="1:9" ht="13" x14ac:dyDescent="0.3">
      <c r="A68" s="50">
        <v>57</v>
      </c>
      <c r="B68" s="30"/>
      <c r="C68" s="30"/>
      <c r="D68" s="51"/>
      <c r="E68" s="53"/>
      <c r="F68" s="55"/>
      <c r="G68" s="55"/>
      <c r="H68" s="55"/>
      <c r="I68" s="49">
        <f t="shared" si="0"/>
        <v>0</v>
      </c>
    </row>
    <row r="69" spans="1:9" ht="13" x14ac:dyDescent="0.3">
      <c r="A69" s="50">
        <v>58</v>
      </c>
      <c r="B69" s="30"/>
      <c r="C69" s="30"/>
      <c r="D69" s="51"/>
      <c r="E69" s="53"/>
      <c r="F69" s="55"/>
      <c r="G69" s="55"/>
      <c r="H69" s="55"/>
      <c r="I69" s="49">
        <f t="shared" si="0"/>
        <v>0</v>
      </c>
    </row>
    <row r="70" spans="1:9" ht="13" x14ac:dyDescent="0.3">
      <c r="A70" s="50">
        <v>59</v>
      </c>
      <c r="B70" s="30"/>
      <c r="C70" s="30"/>
      <c r="D70" s="51"/>
      <c r="E70" s="53"/>
      <c r="F70" s="55"/>
      <c r="G70" s="55"/>
      <c r="H70" s="55"/>
      <c r="I70" s="49">
        <f t="shared" si="0"/>
        <v>0</v>
      </c>
    </row>
    <row r="71" spans="1:9" ht="13" x14ac:dyDescent="0.3">
      <c r="A71" s="50">
        <v>60</v>
      </c>
      <c r="B71" s="30"/>
      <c r="C71" s="30"/>
      <c r="D71" s="51"/>
      <c r="E71" s="53"/>
      <c r="F71" s="55"/>
      <c r="G71" s="55"/>
      <c r="H71" s="55"/>
      <c r="I71" s="49">
        <f t="shared" si="0"/>
        <v>0</v>
      </c>
    </row>
    <row r="72" spans="1:9" x14ac:dyDescent="0.25">
      <c r="A72" s="8"/>
      <c r="B72" s="4"/>
      <c r="D72" s="33"/>
      <c r="E72" s="9"/>
    </row>
    <row r="74" spans="1:9" ht="13" x14ac:dyDescent="0.3">
      <c r="A74" s="69" t="s">
        <v>15</v>
      </c>
      <c r="B74" s="70"/>
      <c r="C74" s="70"/>
      <c r="D74" s="70"/>
      <c r="E74" s="70"/>
      <c r="F74" s="70"/>
      <c r="G74" s="70"/>
      <c r="H74" s="70"/>
      <c r="I74" s="70"/>
    </row>
  </sheetData>
  <mergeCells count="16">
    <mergeCell ref="A74:I74"/>
    <mergeCell ref="B9:B11"/>
    <mergeCell ref="C9:C11"/>
    <mergeCell ref="A9:A11"/>
    <mergeCell ref="B6:C6"/>
    <mergeCell ref="B7:C7"/>
    <mergeCell ref="A1:I1"/>
    <mergeCell ref="A2:I2"/>
    <mergeCell ref="B3:C3"/>
    <mergeCell ref="B4:C4"/>
    <mergeCell ref="B5:C5"/>
    <mergeCell ref="D5:H5"/>
    <mergeCell ref="D4:H4"/>
    <mergeCell ref="D3:H3"/>
    <mergeCell ref="D6:H6"/>
    <mergeCell ref="D7:H7"/>
  </mergeCells>
  <printOptions horizontalCentered="1" verticalCentered="1"/>
  <pageMargins left="0.87" right="0.45" top="0" bottom="0" header="0" footer="0"/>
  <pageSetup scale="106" orientation="portrait" r:id="rId1"/>
  <colBreaks count="1" manualBreakCount="1">
    <brk id="13" min="1" max="81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74"/>
  <sheetViews>
    <sheetView view="pageBreakPreview" zoomScale="130" zoomScaleSheetLayoutView="130" workbookViewId="0">
      <selection activeCell="F11" sqref="F11"/>
    </sheetView>
  </sheetViews>
  <sheetFormatPr defaultRowHeight="12.5" x14ac:dyDescent="0.25"/>
  <cols>
    <col min="1" max="1" width="4.81640625" style="1" customWidth="1"/>
    <col min="2" max="2" width="19.81640625" style="1" bestFit="1" customWidth="1"/>
    <col min="3" max="3" width="7.81640625" style="4" customWidth="1"/>
    <col min="4" max="5" width="8.08984375" style="4" bestFit="1" customWidth="1"/>
    <col min="6" max="6" width="8.08984375" style="57" bestFit="1" customWidth="1"/>
    <col min="7" max="7" width="8.08984375" style="4" bestFit="1" customWidth="1"/>
    <col min="8" max="8" width="6.08984375" style="4" customWidth="1"/>
    <col min="9" max="16384" width="8.7265625" style="4"/>
  </cols>
  <sheetData>
    <row r="1" spans="1:29" ht="15.5" x14ac:dyDescent="0.35">
      <c r="A1" s="86" t="s">
        <v>5</v>
      </c>
      <c r="B1" s="87"/>
      <c r="C1" s="87"/>
      <c r="D1" s="87"/>
      <c r="E1" s="87"/>
      <c r="F1" s="87"/>
      <c r="G1" s="87"/>
      <c r="H1" s="87"/>
    </row>
    <row r="2" spans="1:29" ht="15.75" customHeight="1" x14ac:dyDescent="0.4">
      <c r="A2" s="78" t="s">
        <v>26</v>
      </c>
      <c r="B2" s="78"/>
      <c r="C2" s="78"/>
      <c r="D2" s="78"/>
      <c r="E2" s="78"/>
      <c r="F2" s="78"/>
      <c r="G2" s="78"/>
      <c r="H2" s="78"/>
    </row>
    <row r="3" spans="1:29" ht="12.65" customHeight="1" x14ac:dyDescent="0.35">
      <c r="A3" s="37"/>
      <c r="B3" s="80" t="s">
        <v>28</v>
      </c>
      <c r="C3" s="80"/>
      <c r="D3" s="81" t="s">
        <v>30</v>
      </c>
      <c r="E3" s="81"/>
      <c r="F3" s="81"/>
      <c r="G3" s="81"/>
      <c r="H3" s="37"/>
    </row>
    <row r="4" spans="1:29" ht="12.65" customHeight="1" x14ac:dyDescent="0.35">
      <c r="A4" s="38"/>
      <c r="B4" s="80" t="s">
        <v>27</v>
      </c>
      <c r="C4" s="80"/>
      <c r="D4" s="82" t="s">
        <v>155</v>
      </c>
      <c r="E4" s="82"/>
      <c r="F4" s="82"/>
      <c r="G4" s="82"/>
      <c r="H4" s="38"/>
    </row>
    <row r="5" spans="1:29" ht="12.65" customHeight="1" x14ac:dyDescent="0.35">
      <c r="A5" s="38"/>
      <c r="B5" s="80" t="s">
        <v>25</v>
      </c>
      <c r="C5" s="80"/>
      <c r="D5" s="82" t="s">
        <v>154</v>
      </c>
      <c r="E5" s="82"/>
      <c r="F5" s="82"/>
      <c r="G5" s="82"/>
      <c r="H5" s="38"/>
    </row>
    <row r="6" spans="1:29" ht="12.65" customHeight="1" x14ac:dyDescent="0.35">
      <c r="A6" s="37"/>
      <c r="B6" s="80" t="s">
        <v>50</v>
      </c>
      <c r="C6" s="80"/>
      <c r="D6" s="82" t="s">
        <v>41</v>
      </c>
      <c r="E6" s="82"/>
      <c r="F6" s="82"/>
      <c r="G6" s="82"/>
      <c r="H6" s="37"/>
    </row>
    <row r="7" spans="1:29" ht="12.65" customHeight="1" x14ac:dyDescent="0.35">
      <c r="A7" s="37"/>
      <c r="B7" s="80" t="s">
        <v>29</v>
      </c>
      <c r="C7" s="80"/>
      <c r="D7" s="81" t="s">
        <v>45</v>
      </c>
      <c r="E7" s="81"/>
      <c r="F7" s="81"/>
      <c r="G7" s="81"/>
      <c r="H7" s="37"/>
    </row>
    <row r="8" spans="1:29" ht="13.9" customHeight="1" x14ac:dyDescent="0.25">
      <c r="A8" s="39"/>
      <c r="B8" s="39"/>
      <c r="C8" s="39"/>
      <c r="D8" s="39"/>
      <c r="E8" s="39"/>
      <c r="F8" s="40"/>
      <c r="G8" s="39"/>
      <c r="H8" s="39"/>
    </row>
    <row r="9" spans="1:29" ht="19.5" customHeight="1" x14ac:dyDescent="0.25">
      <c r="A9" s="88" t="s">
        <v>7</v>
      </c>
      <c r="B9" s="71" t="s">
        <v>2</v>
      </c>
      <c r="C9" s="74" t="s">
        <v>1</v>
      </c>
      <c r="D9" s="59" t="s">
        <v>49</v>
      </c>
      <c r="E9" s="60" t="s">
        <v>35</v>
      </c>
      <c r="F9" s="41" t="s">
        <v>36</v>
      </c>
      <c r="G9" s="61" t="s">
        <v>37</v>
      </c>
      <c r="H9" s="42" t="s">
        <v>0</v>
      </c>
    </row>
    <row r="10" spans="1:29" ht="14.5" customHeight="1" x14ac:dyDescent="0.25">
      <c r="A10" s="88"/>
      <c r="B10" s="72"/>
      <c r="C10" s="75"/>
      <c r="D10" s="43">
        <v>45784</v>
      </c>
      <c r="E10" s="44">
        <v>45791</v>
      </c>
      <c r="F10" s="45">
        <v>45798</v>
      </c>
      <c r="G10" s="44">
        <v>45805</v>
      </c>
      <c r="H10" s="46"/>
    </row>
    <row r="11" spans="1:29" ht="15" x14ac:dyDescent="0.3">
      <c r="A11" s="88"/>
      <c r="B11" s="73"/>
      <c r="C11" s="76"/>
      <c r="D11" s="16">
        <v>3</v>
      </c>
      <c r="E11" s="47">
        <v>3</v>
      </c>
      <c r="F11" s="48">
        <v>3</v>
      </c>
      <c r="G11" s="47">
        <v>3</v>
      </c>
      <c r="H11" s="49">
        <f>D11+E11+F11+G11</f>
        <v>12</v>
      </c>
    </row>
    <row r="12" spans="1:29" ht="13" x14ac:dyDescent="0.3">
      <c r="A12" s="50">
        <v>1</v>
      </c>
      <c r="B12" s="26" t="s">
        <v>103</v>
      </c>
      <c r="C12" s="27" t="s">
        <v>52</v>
      </c>
      <c r="D12" s="51">
        <v>3</v>
      </c>
      <c r="E12" s="51"/>
      <c r="F12" s="51"/>
      <c r="G12" s="51"/>
      <c r="H12" s="49">
        <f t="shared" ref="H12:H71" si="0">D12+E12+F12+G12</f>
        <v>3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3"/>
    </row>
    <row r="13" spans="1:29" ht="13" x14ac:dyDescent="0.3">
      <c r="A13" s="50">
        <v>2</v>
      </c>
      <c r="B13" s="26" t="s">
        <v>104</v>
      </c>
      <c r="C13" s="27" t="s">
        <v>53</v>
      </c>
      <c r="D13" s="51">
        <v>0</v>
      </c>
      <c r="E13" s="51"/>
      <c r="F13" s="51"/>
      <c r="G13" s="51"/>
      <c r="H13" s="49">
        <f t="shared" si="0"/>
        <v>0</v>
      </c>
    </row>
    <row r="14" spans="1:29" ht="13" x14ac:dyDescent="0.3">
      <c r="A14" s="50">
        <v>3</v>
      </c>
      <c r="B14" s="26" t="s">
        <v>105</v>
      </c>
      <c r="C14" s="27" t="s">
        <v>54</v>
      </c>
      <c r="D14" s="51">
        <v>3</v>
      </c>
      <c r="E14" s="51"/>
      <c r="F14" s="51"/>
      <c r="G14" s="51"/>
      <c r="H14" s="49">
        <f t="shared" si="0"/>
        <v>3</v>
      </c>
    </row>
    <row r="15" spans="1:29" ht="13" x14ac:dyDescent="0.3">
      <c r="A15" s="50">
        <v>4</v>
      </c>
      <c r="B15" s="26" t="s">
        <v>106</v>
      </c>
      <c r="C15" s="27" t="s">
        <v>55</v>
      </c>
      <c r="D15" s="51">
        <v>3</v>
      </c>
      <c r="E15" s="51"/>
      <c r="F15" s="51"/>
      <c r="G15" s="51"/>
      <c r="H15" s="49">
        <f t="shared" si="0"/>
        <v>3</v>
      </c>
    </row>
    <row r="16" spans="1:29" ht="13" x14ac:dyDescent="0.3">
      <c r="A16" s="50">
        <v>5</v>
      </c>
      <c r="B16" s="26" t="s">
        <v>107</v>
      </c>
      <c r="C16" s="27" t="s">
        <v>56</v>
      </c>
      <c r="D16" s="51">
        <v>3</v>
      </c>
      <c r="E16" s="51"/>
      <c r="F16" s="51"/>
      <c r="G16" s="51"/>
      <c r="H16" s="49">
        <f t="shared" si="0"/>
        <v>3</v>
      </c>
    </row>
    <row r="17" spans="1:8" ht="13" x14ac:dyDescent="0.3">
      <c r="A17" s="50">
        <v>6</v>
      </c>
      <c r="B17" s="26" t="s">
        <v>108</v>
      </c>
      <c r="C17" s="27" t="s">
        <v>57</v>
      </c>
      <c r="D17" s="51">
        <v>3</v>
      </c>
      <c r="E17" s="51"/>
      <c r="F17" s="51"/>
      <c r="G17" s="51"/>
      <c r="H17" s="49">
        <f t="shared" si="0"/>
        <v>3</v>
      </c>
    </row>
    <row r="18" spans="1:8" ht="13" x14ac:dyDescent="0.3">
      <c r="A18" s="50">
        <v>7</v>
      </c>
      <c r="B18" s="26" t="s">
        <v>109</v>
      </c>
      <c r="C18" s="27" t="s">
        <v>58</v>
      </c>
      <c r="D18" s="51">
        <v>0</v>
      </c>
      <c r="E18" s="51"/>
      <c r="F18" s="51"/>
      <c r="G18" s="51"/>
      <c r="H18" s="49">
        <f t="shared" si="0"/>
        <v>0</v>
      </c>
    </row>
    <row r="19" spans="1:8" ht="13" x14ac:dyDescent="0.3">
      <c r="A19" s="50">
        <v>8</v>
      </c>
      <c r="B19" s="26" t="s">
        <v>110</v>
      </c>
      <c r="C19" s="27" t="s">
        <v>59</v>
      </c>
      <c r="D19" s="51">
        <v>0</v>
      </c>
      <c r="E19" s="51"/>
      <c r="F19" s="51"/>
      <c r="G19" s="51"/>
      <c r="H19" s="49">
        <f t="shared" si="0"/>
        <v>0</v>
      </c>
    </row>
    <row r="20" spans="1:8" ht="13" x14ac:dyDescent="0.3">
      <c r="A20" s="50">
        <v>9</v>
      </c>
      <c r="B20" s="26" t="s">
        <v>111</v>
      </c>
      <c r="C20" s="27" t="s">
        <v>60</v>
      </c>
      <c r="D20" s="51">
        <v>0</v>
      </c>
      <c r="E20" s="51"/>
      <c r="F20" s="51"/>
      <c r="G20" s="51"/>
      <c r="H20" s="49">
        <f t="shared" si="0"/>
        <v>0</v>
      </c>
    </row>
    <row r="21" spans="1:8" ht="13" x14ac:dyDescent="0.3">
      <c r="A21" s="50">
        <v>10</v>
      </c>
      <c r="B21" s="26" t="s">
        <v>112</v>
      </c>
      <c r="C21" s="27" t="s">
        <v>61</v>
      </c>
      <c r="D21" s="51">
        <v>3</v>
      </c>
      <c r="E21" s="51"/>
      <c r="F21" s="51"/>
      <c r="G21" s="51"/>
      <c r="H21" s="49">
        <f t="shared" si="0"/>
        <v>3</v>
      </c>
    </row>
    <row r="22" spans="1:8" ht="13" x14ac:dyDescent="0.3">
      <c r="A22" s="50">
        <v>11</v>
      </c>
      <c r="B22" s="26" t="s">
        <v>113</v>
      </c>
      <c r="C22" s="27" t="s">
        <v>62</v>
      </c>
      <c r="D22" s="51">
        <v>0</v>
      </c>
      <c r="E22" s="51"/>
      <c r="F22" s="51"/>
      <c r="G22" s="51"/>
      <c r="H22" s="49">
        <f t="shared" si="0"/>
        <v>0</v>
      </c>
    </row>
    <row r="23" spans="1:8" ht="13" x14ac:dyDescent="0.3">
      <c r="A23" s="50">
        <v>12</v>
      </c>
      <c r="B23" s="26" t="s">
        <v>114</v>
      </c>
      <c r="C23" s="27" t="s">
        <v>63</v>
      </c>
      <c r="D23" s="51">
        <v>3</v>
      </c>
      <c r="E23" s="51"/>
      <c r="F23" s="51"/>
      <c r="G23" s="51"/>
      <c r="H23" s="49">
        <f t="shared" si="0"/>
        <v>3</v>
      </c>
    </row>
    <row r="24" spans="1:8" ht="13" x14ac:dyDescent="0.3">
      <c r="A24" s="50">
        <v>13</v>
      </c>
      <c r="B24" s="26" t="s">
        <v>115</v>
      </c>
      <c r="C24" s="27" t="s">
        <v>64</v>
      </c>
      <c r="D24" s="51">
        <v>3</v>
      </c>
      <c r="E24" s="51"/>
      <c r="F24" s="51"/>
      <c r="G24" s="51"/>
      <c r="H24" s="49">
        <f t="shared" si="0"/>
        <v>3</v>
      </c>
    </row>
    <row r="25" spans="1:8" ht="13" x14ac:dyDescent="0.3">
      <c r="A25" s="50">
        <v>14</v>
      </c>
      <c r="B25" s="26" t="s">
        <v>116</v>
      </c>
      <c r="C25" s="27" t="s">
        <v>65</v>
      </c>
      <c r="D25" s="51">
        <v>3</v>
      </c>
      <c r="E25" s="51"/>
      <c r="F25" s="51"/>
      <c r="G25" s="51"/>
      <c r="H25" s="49">
        <f t="shared" si="0"/>
        <v>3</v>
      </c>
    </row>
    <row r="26" spans="1:8" ht="13" x14ac:dyDescent="0.3">
      <c r="A26" s="50">
        <v>15</v>
      </c>
      <c r="B26" s="26" t="s">
        <v>117</v>
      </c>
      <c r="C26" s="27" t="s">
        <v>66</v>
      </c>
      <c r="D26" s="51">
        <v>3</v>
      </c>
      <c r="E26" s="51"/>
      <c r="F26" s="51"/>
      <c r="G26" s="51"/>
      <c r="H26" s="49">
        <f t="shared" si="0"/>
        <v>3</v>
      </c>
    </row>
    <row r="27" spans="1:8" ht="13" x14ac:dyDescent="0.3">
      <c r="A27" s="50">
        <v>16</v>
      </c>
      <c r="B27" s="26" t="s">
        <v>118</v>
      </c>
      <c r="C27" s="27" t="s">
        <v>67</v>
      </c>
      <c r="D27" s="51">
        <v>3</v>
      </c>
      <c r="E27" s="51"/>
      <c r="F27" s="51"/>
      <c r="G27" s="51"/>
      <c r="H27" s="49">
        <f t="shared" si="0"/>
        <v>3</v>
      </c>
    </row>
    <row r="28" spans="1:8" ht="13" x14ac:dyDescent="0.3">
      <c r="A28" s="50">
        <v>17</v>
      </c>
      <c r="B28" s="26" t="s">
        <v>119</v>
      </c>
      <c r="C28" s="27" t="s">
        <v>68</v>
      </c>
      <c r="D28" s="51">
        <v>3</v>
      </c>
      <c r="E28" s="51"/>
      <c r="F28" s="51"/>
      <c r="G28" s="51"/>
      <c r="H28" s="49">
        <f t="shared" si="0"/>
        <v>3</v>
      </c>
    </row>
    <row r="29" spans="1:8" ht="13" x14ac:dyDescent="0.3">
      <c r="A29" s="50">
        <v>18</v>
      </c>
      <c r="B29" s="26" t="s">
        <v>120</v>
      </c>
      <c r="C29" s="27" t="s">
        <v>69</v>
      </c>
      <c r="D29" s="51">
        <v>3</v>
      </c>
      <c r="E29" s="51"/>
      <c r="F29" s="51"/>
      <c r="G29" s="51"/>
      <c r="H29" s="49">
        <f t="shared" si="0"/>
        <v>3</v>
      </c>
    </row>
    <row r="30" spans="1:8" ht="13" x14ac:dyDescent="0.3">
      <c r="A30" s="50">
        <v>19</v>
      </c>
      <c r="B30" s="26" t="s">
        <v>121</v>
      </c>
      <c r="C30" s="27" t="s">
        <v>70</v>
      </c>
      <c r="D30" s="51">
        <v>0</v>
      </c>
      <c r="E30" s="51"/>
      <c r="F30" s="51"/>
      <c r="G30" s="51"/>
      <c r="H30" s="49">
        <f t="shared" si="0"/>
        <v>0</v>
      </c>
    </row>
    <row r="31" spans="1:8" ht="13" x14ac:dyDescent="0.3">
      <c r="A31" s="50">
        <v>20</v>
      </c>
      <c r="B31" s="26" t="s">
        <v>122</v>
      </c>
      <c r="C31" s="27" t="s">
        <v>71</v>
      </c>
      <c r="D31" s="51">
        <v>3</v>
      </c>
      <c r="E31" s="51"/>
      <c r="F31" s="51"/>
      <c r="G31" s="51"/>
      <c r="H31" s="49">
        <f t="shared" si="0"/>
        <v>3</v>
      </c>
    </row>
    <row r="32" spans="1:8" ht="13" x14ac:dyDescent="0.3">
      <c r="A32" s="50">
        <v>21</v>
      </c>
      <c r="B32" s="26" t="s">
        <v>123</v>
      </c>
      <c r="C32" s="27" t="s">
        <v>72</v>
      </c>
      <c r="D32" s="51">
        <v>3</v>
      </c>
      <c r="E32" s="51"/>
      <c r="F32" s="51"/>
      <c r="G32" s="51"/>
      <c r="H32" s="49">
        <f t="shared" si="0"/>
        <v>3</v>
      </c>
    </row>
    <row r="33" spans="1:8" ht="13" x14ac:dyDescent="0.3">
      <c r="A33" s="50">
        <v>22</v>
      </c>
      <c r="B33" s="26" t="s">
        <v>124</v>
      </c>
      <c r="C33" s="27" t="s">
        <v>73</v>
      </c>
      <c r="D33" s="51">
        <v>3</v>
      </c>
      <c r="E33" s="51"/>
      <c r="F33" s="51"/>
      <c r="G33" s="51"/>
      <c r="H33" s="49">
        <f t="shared" si="0"/>
        <v>3</v>
      </c>
    </row>
    <row r="34" spans="1:8" ht="13" x14ac:dyDescent="0.3">
      <c r="A34" s="50">
        <v>23</v>
      </c>
      <c r="B34" s="26" t="s">
        <v>125</v>
      </c>
      <c r="C34" s="27" t="s">
        <v>74</v>
      </c>
      <c r="D34" s="51">
        <v>3</v>
      </c>
      <c r="E34" s="51"/>
      <c r="F34" s="51"/>
      <c r="G34" s="51"/>
      <c r="H34" s="49">
        <f t="shared" si="0"/>
        <v>3</v>
      </c>
    </row>
    <row r="35" spans="1:8" ht="13" x14ac:dyDescent="0.3">
      <c r="A35" s="50">
        <v>24</v>
      </c>
      <c r="B35" s="26" t="s">
        <v>126</v>
      </c>
      <c r="C35" s="27" t="s">
        <v>75</v>
      </c>
      <c r="D35" s="51">
        <v>3</v>
      </c>
      <c r="E35" s="51"/>
      <c r="F35" s="51"/>
      <c r="G35" s="51"/>
      <c r="H35" s="49">
        <f t="shared" si="0"/>
        <v>3</v>
      </c>
    </row>
    <row r="36" spans="1:8" ht="13" x14ac:dyDescent="0.3">
      <c r="A36" s="50">
        <v>25</v>
      </c>
      <c r="B36" s="26" t="s">
        <v>105</v>
      </c>
      <c r="C36" s="27" t="s">
        <v>76</v>
      </c>
      <c r="D36" s="51">
        <v>3</v>
      </c>
      <c r="E36" s="51"/>
      <c r="F36" s="51"/>
      <c r="G36" s="51"/>
      <c r="H36" s="49">
        <f t="shared" si="0"/>
        <v>3</v>
      </c>
    </row>
    <row r="37" spans="1:8" ht="13" x14ac:dyDescent="0.3">
      <c r="A37" s="50">
        <v>26</v>
      </c>
      <c r="B37" s="26" t="s">
        <v>127</v>
      </c>
      <c r="C37" s="27" t="s">
        <v>77</v>
      </c>
      <c r="D37" s="51">
        <v>3</v>
      </c>
      <c r="E37" s="51"/>
      <c r="F37" s="51"/>
      <c r="G37" s="51"/>
      <c r="H37" s="49">
        <f t="shared" si="0"/>
        <v>3</v>
      </c>
    </row>
    <row r="38" spans="1:8" ht="13" x14ac:dyDescent="0.3">
      <c r="A38" s="50">
        <v>27</v>
      </c>
      <c r="B38" s="26" t="s">
        <v>128</v>
      </c>
      <c r="C38" s="27" t="s">
        <v>78</v>
      </c>
      <c r="D38" s="51">
        <v>3</v>
      </c>
      <c r="E38" s="51"/>
      <c r="F38" s="51"/>
      <c r="G38" s="51"/>
      <c r="H38" s="49">
        <f t="shared" si="0"/>
        <v>3</v>
      </c>
    </row>
    <row r="39" spans="1:8" ht="13" x14ac:dyDescent="0.3">
      <c r="A39" s="50">
        <v>28</v>
      </c>
      <c r="B39" s="26" t="s">
        <v>129</v>
      </c>
      <c r="C39" s="27" t="s">
        <v>79</v>
      </c>
      <c r="D39" s="51">
        <v>3</v>
      </c>
      <c r="E39" s="51"/>
      <c r="F39" s="51"/>
      <c r="G39" s="51"/>
      <c r="H39" s="49">
        <f t="shared" si="0"/>
        <v>3</v>
      </c>
    </row>
    <row r="40" spans="1:8" ht="13" x14ac:dyDescent="0.3">
      <c r="A40" s="50">
        <v>29</v>
      </c>
      <c r="B40" s="26" t="s">
        <v>130</v>
      </c>
      <c r="C40" s="27" t="s">
        <v>80</v>
      </c>
      <c r="D40" s="51">
        <v>0</v>
      </c>
      <c r="E40" s="51"/>
      <c r="F40" s="51"/>
      <c r="G40" s="51"/>
      <c r="H40" s="49">
        <f t="shared" si="0"/>
        <v>0</v>
      </c>
    </row>
    <row r="41" spans="1:8" ht="13" x14ac:dyDescent="0.3">
      <c r="A41" s="50">
        <v>30</v>
      </c>
      <c r="B41" s="26" t="s">
        <v>131</v>
      </c>
      <c r="C41" s="27" t="s">
        <v>81</v>
      </c>
      <c r="D41" s="51">
        <v>3</v>
      </c>
      <c r="E41" s="51"/>
      <c r="F41" s="51"/>
      <c r="G41" s="51"/>
      <c r="H41" s="49">
        <f t="shared" si="0"/>
        <v>3</v>
      </c>
    </row>
    <row r="42" spans="1:8" ht="13" x14ac:dyDescent="0.3">
      <c r="A42" s="50">
        <v>31</v>
      </c>
      <c r="B42" s="26" t="s">
        <v>132</v>
      </c>
      <c r="C42" s="27" t="s">
        <v>82</v>
      </c>
      <c r="D42" s="51">
        <v>3</v>
      </c>
      <c r="E42" s="51"/>
      <c r="F42" s="51"/>
      <c r="G42" s="51"/>
      <c r="H42" s="49">
        <f t="shared" si="0"/>
        <v>3</v>
      </c>
    </row>
    <row r="43" spans="1:8" ht="13" x14ac:dyDescent="0.3">
      <c r="A43" s="50">
        <v>32</v>
      </c>
      <c r="B43" s="26" t="s">
        <v>133</v>
      </c>
      <c r="C43" s="27" t="s">
        <v>83</v>
      </c>
      <c r="D43" s="51">
        <v>0</v>
      </c>
      <c r="E43" s="51"/>
      <c r="F43" s="51"/>
      <c r="G43" s="51"/>
      <c r="H43" s="49">
        <f t="shared" si="0"/>
        <v>0</v>
      </c>
    </row>
    <row r="44" spans="1:8" ht="13" x14ac:dyDescent="0.3">
      <c r="A44" s="50">
        <v>33</v>
      </c>
      <c r="B44" s="26" t="s">
        <v>134</v>
      </c>
      <c r="C44" s="27" t="s">
        <v>84</v>
      </c>
      <c r="D44" s="51">
        <v>3</v>
      </c>
      <c r="E44" s="51"/>
      <c r="F44" s="51"/>
      <c r="G44" s="51"/>
      <c r="H44" s="49">
        <f t="shared" si="0"/>
        <v>3</v>
      </c>
    </row>
    <row r="45" spans="1:8" ht="13" x14ac:dyDescent="0.3">
      <c r="A45" s="50">
        <v>34</v>
      </c>
      <c r="B45" s="26" t="s">
        <v>135</v>
      </c>
      <c r="C45" s="27" t="s">
        <v>85</v>
      </c>
      <c r="D45" s="51">
        <v>0</v>
      </c>
      <c r="E45" s="51"/>
      <c r="F45" s="51"/>
      <c r="G45" s="51"/>
      <c r="H45" s="49">
        <f t="shared" si="0"/>
        <v>0</v>
      </c>
    </row>
    <row r="46" spans="1:8" ht="13" x14ac:dyDescent="0.3">
      <c r="A46" s="50">
        <v>35</v>
      </c>
      <c r="B46" s="26" t="s">
        <v>136</v>
      </c>
      <c r="C46" s="27" t="s">
        <v>86</v>
      </c>
      <c r="D46" s="51">
        <v>0</v>
      </c>
      <c r="E46" s="51"/>
      <c r="F46" s="51"/>
      <c r="G46" s="51"/>
      <c r="H46" s="49">
        <f t="shared" si="0"/>
        <v>0</v>
      </c>
    </row>
    <row r="47" spans="1:8" ht="13" x14ac:dyDescent="0.3">
      <c r="A47" s="50">
        <v>36</v>
      </c>
      <c r="B47" s="26" t="s">
        <v>137</v>
      </c>
      <c r="C47" s="27" t="s">
        <v>87</v>
      </c>
      <c r="D47" s="51">
        <v>3</v>
      </c>
      <c r="E47" s="51"/>
      <c r="F47" s="51"/>
      <c r="G47" s="51"/>
      <c r="H47" s="49">
        <f t="shared" si="0"/>
        <v>3</v>
      </c>
    </row>
    <row r="48" spans="1:8" ht="13" x14ac:dyDescent="0.3">
      <c r="A48" s="50">
        <v>37</v>
      </c>
      <c r="B48" s="26" t="s">
        <v>138</v>
      </c>
      <c r="C48" s="27" t="s">
        <v>88</v>
      </c>
      <c r="D48" s="51">
        <v>3</v>
      </c>
      <c r="E48" s="51"/>
      <c r="F48" s="51"/>
      <c r="G48" s="51"/>
      <c r="H48" s="49">
        <f t="shared" si="0"/>
        <v>3</v>
      </c>
    </row>
    <row r="49" spans="1:8" ht="13" x14ac:dyDescent="0.3">
      <c r="A49" s="50">
        <v>38</v>
      </c>
      <c r="B49" s="26" t="s">
        <v>139</v>
      </c>
      <c r="C49" s="27" t="s">
        <v>89</v>
      </c>
      <c r="D49" s="51">
        <v>3</v>
      </c>
      <c r="E49" s="51"/>
      <c r="F49" s="51"/>
      <c r="G49" s="51"/>
      <c r="H49" s="49">
        <f t="shared" si="0"/>
        <v>3</v>
      </c>
    </row>
    <row r="50" spans="1:8" ht="13" x14ac:dyDescent="0.3">
      <c r="A50" s="50">
        <v>39</v>
      </c>
      <c r="B50" s="26" t="s">
        <v>140</v>
      </c>
      <c r="C50" s="27" t="s">
        <v>90</v>
      </c>
      <c r="D50" s="51">
        <v>3</v>
      </c>
      <c r="E50" s="51"/>
      <c r="F50" s="51"/>
      <c r="G50" s="51"/>
      <c r="H50" s="49">
        <f t="shared" si="0"/>
        <v>3</v>
      </c>
    </row>
    <row r="51" spans="1:8" ht="13" x14ac:dyDescent="0.3">
      <c r="A51" s="50">
        <v>40</v>
      </c>
      <c r="B51" s="26" t="s">
        <v>141</v>
      </c>
      <c r="C51" s="27" t="s">
        <v>91</v>
      </c>
      <c r="D51" s="51">
        <v>3</v>
      </c>
      <c r="E51" s="51"/>
      <c r="F51" s="51"/>
      <c r="G51" s="51"/>
      <c r="H51" s="49">
        <f t="shared" si="0"/>
        <v>3</v>
      </c>
    </row>
    <row r="52" spans="1:8" ht="13" x14ac:dyDescent="0.3">
      <c r="A52" s="50">
        <v>41</v>
      </c>
      <c r="B52" s="26" t="s">
        <v>142</v>
      </c>
      <c r="C52" s="27" t="s">
        <v>92</v>
      </c>
      <c r="D52" s="51">
        <v>3</v>
      </c>
      <c r="E52" s="51"/>
      <c r="F52" s="51"/>
      <c r="G52" s="51"/>
      <c r="H52" s="49">
        <f t="shared" si="0"/>
        <v>3</v>
      </c>
    </row>
    <row r="53" spans="1:8" ht="13" x14ac:dyDescent="0.3">
      <c r="A53" s="50">
        <v>42</v>
      </c>
      <c r="B53" s="26" t="s">
        <v>143</v>
      </c>
      <c r="C53" s="27" t="s">
        <v>93</v>
      </c>
      <c r="D53" s="51">
        <v>3</v>
      </c>
      <c r="E53" s="51"/>
      <c r="F53" s="51"/>
      <c r="G53" s="51"/>
      <c r="H53" s="49">
        <f t="shared" si="0"/>
        <v>3</v>
      </c>
    </row>
    <row r="54" spans="1:8" ht="13" x14ac:dyDescent="0.3">
      <c r="A54" s="50">
        <v>43</v>
      </c>
      <c r="B54" s="26" t="s">
        <v>144</v>
      </c>
      <c r="C54" s="27" t="s">
        <v>94</v>
      </c>
      <c r="D54" s="51">
        <v>3</v>
      </c>
      <c r="E54" s="51"/>
      <c r="F54" s="51"/>
      <c r="G54" s="51"/>
      <c r="H54" s="49">
        <f t="shared" si="0"/>
        <v>3</v>
      </c>
    </row>
    <row r="55" spans="1:8" ht="13" x14ac:dyDescent="0.3">
      <c r="A55" s="50">
        <v>44</v>
      </c>
      <c r="B55" s="26" t="s">
        <v>145</v>
      </c>
      <c r="C55" s="27" t="s">
        <v>95</v>
      </c>
      <c r="D55" s="51">
        <v>3</v>
      </c>
      <c r="E55" s="51"/>
      <c r="F55" s="51"/>
      <c r="G55" s="51"/>
      <c r="H55" s="49">
        <f t="shared" si="0"/>
        <v>3</v>
      </c>
    </row>
    <row r="56" spans="1:8" ht="13" x14ac:dyDescent="0.3">
      <c r="A56" s="50">
        <v>45</v>
      </c>
      <c r="B56" s="26" t="s">
        <v>146</v>
      </c>
      <c r="C56" s="27" t="s">
        <v>96</v>
      </c>
      <c r="D56" s="51">
        <v>3</v>
      </c>
      <c r="E56" s="53"/>
      <c r="F56" s="55"/>
      <c r="G56" s="54"/>
      <c r="H56" s="49">
        <f t="shared" si="0"/>
        <v>3</v>
      </c>
    </row>
    <row r="57" spans="1:8" ht="13" x14ac:dyDescent="0.3">
      <c r="A57" s="50">
        <v>46</v>
      </c>
      <c r="B57" s="26" t="s">
        <v>147</v>
      </c>
      <c r="C57" s="27" t="s">
        <v>97</v>
      </c>
      <c r="D57" s="51">
        <v>3</v>
      </c>
      <c r="E57" s="53"/>
      <c r="F57" s="55"/>
      <c r="G57" s="54"/>
      <c r="H57" s="49">
        <f t="shared" si="0"/>
        <v>3</v>
      </c>
    </row>
    <row r="58" spans="1:8" ht="13" x14ac:dyDescent="0.3">
      <c r="A58" s="50">
        <v>47</v>
      </c>
      <c r="B58" s="26" t="s">
        <v>148</v>
      </c>
      <c r="C58" s="27" t="s">
        <v>98</v>
      </c>
      <c r="D58" s="51">
        <v>3</v>
      </c>
      <c r="E58" s="53"/>
      <c r="F58" s="55"/>
      <c r="G58" s="54"/>
      <c r="H58" s="49">
        <f t="shared" si="0"/>
        <v>3</v>
      </c>
    </row>
    <row r="59" spans="1:8" ht="13" x14ac:dyDescent="0.3">
      <c r="A59" s="50">
        <v>48</v>
      </c>
      <c r="B59" s="26" t="s">
        <v>149</v>
      </c>
      <c r="C59" s="27" t="s">
        <v>99</v>
      </c>
      <c r="D59" s="51">
        <v>3</v>
      </c>
      <c r="E59" s="53"/>
      <c r="F59" s="55"/>
      <c r="G59" s="54"/>
      <c r="H59" s="49">
        <f t="shared" si="0"/>
        <v>3</v>
      </c>
    </row>
    <row r="60" spans="1:8" ht="13" x14ac:dyDescent="0.3">
      <c r="A60" s="50">
        <v>49</v>
      </c>
      <c r="B60" s="28" t="s">
        <v>150</v>
      </c>
      <c r="C60" s="27" t="s">
        <v>100</v>
      </c>
      <c r="D60" s="51">
        <v>3</v>
      </c>
      <c r="E60" s="53"/>
      <c r="F60" s="55"/>
      <c r="G60" s="54"/>
      <c r="H60" s="49">
        <f t="shared" si="0"/>
        <v>3</v>
      </c>
    </row>
    <row r="61" spans="1:8" ht="13" x14ac:dyDescent="0.3">
      <c r="A61" s="50">
        <v>50</v>
      </c>
      <c r="B61" s="29" t="s">
        <v>151</v>
      </c>
      <c r="C61" s="27" t="s">
        <v>101</v>
      </c>
      <c r="D61" s="51">
        <v>3</v>
      </c>
      <c r="E61" s="53"/>
      <c r="F61" s="55"/>
      <c r="G61" s="54"/>
      <c r="H61" s="49">
        <f t="shared" si="0"/>
        <v>3</v>
      </c>
    </row>
    <row r="62" spans="1:8" ht="13" x14ac:dyDescent="0.3">
      <c r="A62" s="50">
        <v>51</v>
      </c>
      <c r="B62" s="26" t="s">
        <v>152</v>
      </c>
      <c r="C62" s="27" t="s">
        <v>102</v>
      </c>
      <c r="D62" s="51">
        <v>3</v>
      </c>
      <c r="E62" s="53"/>
      <c r="F62" s="55"/>
      <c r="G62" s="54"/>
      <c r="H62" s="49">
        <f t="shared" si="0"/>
        <v>3</v>
      </c>
    </row>
    <row r="63" spans="1:8" ht="13" x14ac:dyDescent="0.3">
      <c r="A63" s="50">
        <v>52</v>
      </c>
      <c r="B63" s="30"/>
      <c r="C63" s="30"/>
      <c r="D63" s="51"/>
      <c r="E63" s="53"/>
      <c r="F63" s="55"/>
      <c r="G63" s="54"/>
      <c r="H63" s="49">
        <f t="shared" si="0"/>
        <v>0</v>
      </c>
    </row>
    <row r="64" spans="1:8" ht="13" x14ac:dyDescent="0.3">
      <c r="A64" s="50">
        <v>53</v>
      </c>
      <c r="B64" s="30"/>
      <c r="C64" s="30"/>
      <c r="D64" s="51"/>
      <c r="E64" s="53"/>
      <c r="F64" s="55"/>
      <c r="G64" s="54"/>
      <c r="H64" s="49">
        <f t="shared" si="0"/>
        <v>0</v>
      </c>
    </row>
    <row r="65" spans="1:8" ht="13" x14ac:dyDescent="0.3">
      <c r="A65" s="50">
        <v>54</v>
      </c>
      <c r="B65" s="30"/>
      <c r="C65" s="30"/>
      <c r="D65" s="51"/>
      <c r="E65" s="53"/>
      <c r="F65" s="55"/>
      <c r="G65" s="54"/>
      <c r="H65" s="49">
        <f t="shared" si="0"/>
        <v>0</v>
      </c>
    </row>
    <row r="66" spans="1:8" ht="13" x14ac:dyDescent="0.3">
      <c r="A66" s="50">
        <v>55</v>
      </c>
      <c r="B66" s="30"/>
      <c r="C66" s="30"/>
      <c r="D66" s="51"/>
      <c r="E66" s="53"/>
      <c r="F66" s="55"/>
      <c r="G66" s="54"/>
      <c r="H66" s="49">
        <f t="shared" si="0"/>
        <v>0</v>
      </c>
    </row>
    <row r="67" spans="1:8" ht="13" x14ac:dyDescent="0.3">
      <c r="A67" s="50">
        <v>56</v>
      </c>
      <c r="B67" s="30"/>
      <c r="C67" s="30"/>
      <c r="D67" s="51"/>
      <c r="E67" s="53"/>
      <c r="F67" s="55"/>
      <c r="G67" s="54"/>
      <c r="H67" s="49">
        <f t="shared" si="0"/>
        <v>0</v>
      </c>
    </row>
    <row r="68" spans="1:8" ht="13" x14ac:dyDescent="0.3">
      <c r="A68" s="50">
        <v>57</v>
      </c>
      <c r="B68" s="30"/>
      <c r="C68" s="30"/>
      <c r="D68" s="51"/>
      <c r="E68" s="53"/>
      <c r="F68" s="55"/>
      <c r="G68" s="54"/>
      <c r="H68" s="49">
        <f t="shared" si="0"/>
        <v>0</v>
      </c>
    </row>
    <row r="69" spans="1:8" ht="13" x14ac:dyDescent="0.3">
      <c r="A69" s="50">
        <v>58</v>
      </c>
      <c r="B69" s="30"/>
      <c r="C69" s="30"/>
      <c r="D69" s="51"/>
      <c r="E69" s="53"/>
      <c r="F69" s="55"/>
      <c r="G69" s="54"/>
      <c r="H69" s="49">
        <f t="shared" si="0"/>
        <v>0</v>
      </c>
    </row>
    <row r="70" spans="1:8" ht="13" x14ac:dyDescent="0.3">
      <c r="A70" s="50">
        <v>59</v>
      </c>
      <c r="B70" s="30"/>
      <c r="C70" s="30"/>
      <c r="D70" s="51"/>
      <c r="E70" s="53"/>
      <c r="F70" s="55"/>
      <c r="G70" s="54"/>
      <c r="H70" s="49">
        <f t="shared" si="0"/>
        <v>0</v>
      </c>
    </row>
    <row r="71" spans="1:8" ht="13" x14ac:dyDescent="0.3">
      <c r="A71" s="50">
        <v>60</v>
      </c>
      <c r="B71" s="30"/>
      <c r="C71" s="30"/>
      <c r="D71" s="51"/>
      <c r="E71" s="53"/>
      <c r="F71" s="55"/>
      <c r="G71" s="54"/>
      <c r="H71" s="21">
        <f t="shared" si="0"/>
        <v>0</v>
      </c>
    </row>
    <row r="72" spans="1:8" x14ac:dyDescent="0.25">
      <c r="A72" s="8"/>
      <c r="B72" s="4"/>
      <c r="D72" s="33"/>
      <c r="E72" s="9"/>
      <c r="F72" s="56"/>
    </row>
    <row r="74" spans="1:8" ht="13" x14ac:dyDescent="0.3">
      <c r="A74" s="69" t="s">
        <v>15</v>
      </c>
      <c r="B74" s="70"/>
      <c r="C74" s="70"/>
      <c r="D74" s="70"/>
      <c r="E74" s="70"/>
      <c r="F74" s="70"/>
      <c r="G74" s="70"/>
      <c r="H74" s="70"/>
    </row>
  </sheetData>
  <mergeCells count="16">
    <mergeCell ref="A74:H74"/>
    <mergeCell ref="A9:A11"/>
    <mergeCell ref="B9:B11"/>
    <mergeCell ref="C9:C11"/>
    <mergeCell ref="B5:C5"/>
    <mergeCell ref="D5:G5"/>
    <mergeCell ref="B6:C6"/>
    <mergeCell ref="D6:G6"/>
    <mergeCell ref="B7:C7"/>
    <mergeCell ref="D7:G7"/>
    <mergeCell ref="A1:H1"/>
    <mergeCell ref="A2:H2"/>
    <mergeCell ref="B3:C3"/>
    <mergeCell ref="D3:G3"/>
    <mergeCell ref="B4:C4"/>
    <mergeCell ref="D4:G4"/>
  </mergeCells>
  <printOptions horizontalCentered="1" verticalCentered="1"/>
  <pageMargins left="0.5" right="0.45" top="0" bottom="0" header="0" footer="0"/>
  <pageSetup paperSize="9" scale="115" orientation="portrait" r:id="rId1"/>
  <colBreaks count="1" manualBreakCount="1">
    <brk id="12" min="1" max="81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74"/>
  <sheetViews>
    <sheetView view="pageBreakPreview" zoomScale="130" zoomScaleSheetLayoutView="130" workbookViewId="0">
      <selection activeCell="F14" sqref="F14"/>
    </sheetView>
  </sheetViews>
  <sheetFormatPr defaultRowHeight="12.5" x14ac:dyDescent="0.25"/>
  <cols>
    <col min="1" max="1" width="4.81640625" style="1" customWidth="1"/>
    <col min="2" max="2" width="19.54296875" style="1" customWidth="1"/>
    <col min="3" max="3" width="7.54296875" style="4" customWidth="1"/>
    <col min="4" max="5" width="7.36328125" style="4" bestFit="1" customWidth="1"/>
    <col min="6" max="6" width="5.26953125" style="4" bestFit="1" customWidth="1"/>
    <col min="7" max="7" width="5.26953125" style="57" bestFit="1" customWidth="1"/>
    <col min="8" max="8" width="5.08984375" style="4" bestFit="1" customWidth="1"/>
    <col min="9" max="16384" width="8.7265625" style="4"/>
  </cols>
  <sheetData>
    <row r="1" spans="1:29" ht="15.5" x14ac:dyDescent="0.35">
      <c r="A1" s="86" t="s">
        <v>5</v>
      </c>
      <c r="B1" s="87"/>
      <c r="C1" s="87"/>
      <c r="D1" s="87"/>
      <c r="E1" s="87"/>
      <c r="F1" s="87"/>
      <c r="G1" s="87"/>
      <c r="H1" s="87"/>
    </row>
    <row r="2" spans="1:29" ht="15.75" customHeight="1" x14ac:dyDescent="0.4">
      <c r="A2" s="78" t="s">
        <v>26</v>
      </c>
      <c r="B2" s="78"/>
      <c r="C2" s="78"/>
      <c r="D2" s="78"/>
      <c r="E2" s="78"/>
      <c r="F2" s="78"/>
      <c r="G2" s="78"/>
      <c r="H2" s="78"/>
    </row>
    <row r="3" spans="1:29" ht="12.65" customHeight="1" x14ac:dyDescent="0.35">
      <c r="A3" s="37"/>
      <c r="B3" s="80" t="s">
        <v>28</v>
      </c>
      <c r="C3" s="80"/>
      <c r="D3" s="81" t="s">
        <v>30</v>
      </c>
      <c r="E3" s="81"/>
      <c r="F3" s="81"/>
      <c r="G3" s="81"/>
      <c r="H3" s="81"/>
    </row>
    <row r="4" spans="1:29" ht="12.65" customHeight="1" x14ac:dyDescent="0.35">
      <c r="A4" s="38"/>
      <c r="B4" s="80" t="s">
        <v>27</v>
      </c>
      <c r="C4" s="80"/>
      <c r="D4" s="82" t="s">
        <v>155</v>
      </c>
      <c r="E4" s="82"/>
      <c r="F4" s="82"/>
      <c r="G4" s="82"/>
      <c r="H4" s="82"/>
    </row>
    <row r="5" spans="1:29" ht="12.65" customHeight="1" x14ac:dyDescent="0.35">
      <c r="A5" s="38"/>
      <c r="B5" s="80" t="s">
        <v>25</v>
      </c>
      <c r="C5" s="80"/>
      <c r="D5" s="82" t="s">
        <v>154</v>
      </c>
      <c r="E5" s="82"/>
      <c r="F5" s="82"/>
      <c r="G5" s="82"/>
      <c r="H5" s="82"/>
    </row>
    <row r="6" spans="1:29" ht="12.65" customHeight="1" x14ac:dyDescent="0.35">
      <c r="A6" s="37"/>
      <c r="B6" s="80" t="s">
        <v>50</v>
      </c>
      <c r="C6" s="80"/>
      <c r="D6" s="82" t="s">
        <v>41</v>
      </c>
      <c r="E6" s="82"/>
      <c r="F6" s="82"/>
      <c r="G6" s="82"/>
      <c r="H6" s="82"/>
    </row>
    <row r="7" spans="1:29" ht="12.65" customHeight="1" x14ac:dyDescent="0.35">
      <c r="A7" s="37"/>
      <c r="B7" s="80" t="s">
        <v>29</v>
      </c>
      <c r="C7" s="80"/>
      <c r="D7" s="81" t="s">
        <v>46</v>
      </c>
      <c r="E7" s="81"/>
      <c r="F7" s="81"/>
      <c r="G7" s="81"/>
      <c r="H7" s="81"/>
    </row>
    <row r="8" spans="1:29" ht="13.9" customHeight="1" x14ac:dyDescent="0.25">
      <c r="A8" s="39"/>
      <c r="B8" s="39"/>
      <c r="C8" s="39"/>
      <c r="D8" s="39"/>
      <c r="E8" s="39"/>
      <c r="F8" s="39"/>
      <c r="G8" s="40"/>
      <c r="H8" s="39"/>
    </row>
    <row r="9" spans="1:29" ht="19.5" customHeight="1" x14ac:dyDescent="0.25">
      <c r="A9" s="88" t="s">
        <v>7</v>
      </c>
      <c r="B9" s="71" t="s">
        <v>2</v>
      </c>
      <c r="C9" s="74" t="s">
        <v>1</v>
      </c>
      <c r="D9" s="41" t="s">
        <v>38</v>
      </c>
      <c r="E9" s="41" t="s">
        <v>39</v>
      </c>
      <c r="F9" s="89"/>
      <c r="G9" s="90"/>
      <c r="H9" s="42" t="s">
        <v>0</v>
      </c>
    </row>
    <row r="10" spans="1:29" ht="14.5" customHeight="1" x14ac:dyDescent="0.25">
      <c r="A10" s="88"/>
      <c r="B10" s="72"/>
      <c r="C10" s="75"/>
      <c r="D10" s="43">
        <v>56404</v>
      </c>
      <c r="E10" s="44">
        <v>45819</v>
      </c>
      <c r="F10" s="45"/>
      <c r="G10" s="45"/>
      <c r="H10" s="46"/>
    </row>
    <row r="11" spans="1:29" ht="15" x14ac:dyDescent="0.3">
      <c r="A11" s="88"/>
      <c r="B11" s="73"/>
      <c r="C11" s="76"/>
      <c r="D11" s="16">
        <v>3</v>
      </c>
      <c r="E11" s="47">
        <v>3</v>
      </c>
      <c r="F11" s="47"/>
      <c r="G11" s="48"/>
      <c r="H11" s="49">
        <f>D11+E11+F11+G11</f>
        <v>6</v>
      </c>
    </row>
    <row r="12" spans="1:29" ht="13" x14ac:dyDescent="0.3">
      <c r="A12" s="50">
        <v>1</v>
      </c>
      <c r="B12" s="26" t="s">
        <v>103</v>
      </c>
      <c r="C12" s="27" t="s">
        <v>52</v>
      </c>
      <c r="D12" s="51"/>
      <c r="E12" s="51"/>
      <c r="F12" s="51"/>
      <c r="G12" s="51"/>
      <c r="H12" s="49">
        <f t="shared" ref="H12:H71" si="0">D12+E12+F12+G12</f>
        <v>0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3"/>
    </row>
    <row r="13" spans="1:29" ht="13" x14ac:dyDescent="0.3">
      <c r="A13" s="50">
        <v>2</v>
      </c>
      <c r="B13" s="26" t="s">
        <v>104</v>
      </c>
      <c r="C13" s="27" t="s">
        <v>53</v>
      </c>
      <c r="D13" s="51"/>
      <c r="E13" s="51"/>
      <c r="F13" s="51"/>
      <c r="G13" s="51"/>
      <c r="H13" s="49">
        <f t="shared" si="0"/>
        <v>0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</row>
    <row r="14" spans="1:29" ht="13" x14ac:dyDescent="0.3">
      <c r="A14" s="50">
        <v>3</v>
      </c>
      <c r="B14" s="26" t="s">
        <v>105</v>
      </c>
      <c r="C14" s="27" t="s">
        <v>54</v>
      </c>
      <c r="D14" s="51"/>
      <c r="E14" s="51"/>
      <c r="F14" s="51"/>
      <c r="G14" s="51"/>
      <c r="H14" s="49">
        <f t="shared" si="0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</row>
    <row r="15" spans="1:29" ht="13" x14ac:dyDescent="0.3">
      <c r="A15" s="50">
        <v>4</v>
      </c>
      <c r="B15" s="26" t="s">
        <v>106</v>
      </c>
      <c r="C15" s="27" t="s">
        <v>55</v>
      </c>
      <c r="D15" s="51"/>
      <c r="E15" s="51"/>
      <c r="F15" s="51"/>
      <c r="G15" s="51"/>
      <c r="H15" s="49">
        <f t="shared" si="0"/>
        <v>0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</row>
    <row r="16" spans="1:29" ht="13" x14ac:dyDescent="0.3">
      <c r="A16" s="50">
        <v>5</v>
      </c>
      <c r="B16" s="26" t="s">
        <v>107</v>
      </c>
      <c r="C16" s="27" t="s">
        <v>56</v>
      </c>
      <c r="D16" s="51"/>
      <c r="E16" s="51"/>
      <c r="F16" s="51"/>
      <c r="G16" s="51"/>
      <c r="H16" s="49">
        <f t="shared" si="0"/>
        <v>0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</row>
    <row r="17" spans="1:29" ht="13" x14ac:dyDescent="0.3">
      <c r="A17" s="50">
        <v>6</v>
      </c>
      <c r="B17" s="26" t="s">
        <v>108</v>
      </c>
      <c r="C17" s="27" t="s">
        <v>57</v>
      </c>
      <c r="D17" s="51"/>
      <c r="E17" s="51"/>
      <c r="F17" s="51"/>
      <c r="G17" s="51"/>
      <c r="H17" s="49">
        <f t="shared" si="0"/>
        <v>0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</row>
    <row r="18" spans="1:29" ht="13" x14ac:dyDescent="0.3">
      <c r="A18" s="50">
        <v>7</v>
      </c>
      <c r="B18" s="26" t="s">
        <v>109</v>
      </c>
      <c r="C18" s="27" t="s">
        <v>58</v>
      </c>
      <c r="D18" s="51"/>
      <c r="E18" s="51"/>
      <c r="F18" s="51"/>
      <c r="G18" s="51"/>
      <c r="H18" s="49">
        <f t="shared" si="0"/>
        <v>0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</row>
    <row r="19" spans="1:29" ht="13" x14ac:dyDescent="0.3">
      <c r="A19" s="50">
        <v>8</v>
      </c>
      <c r="B19" s="26" t="s">
        <v>110</v>
      </c>
      <c r="C19" s="27" t="s">
        <v>59</v>
      </c>
      <c r="D19" s="51"/>
      <c r="E19" s="51"/>
      <c r="F19" s="51"/>
      <c r="G19" s="51"/>
      <c r="H19" s="49">
        <f t="shared" si="0"/>
        <v>0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</row>
    <row r="20" spans="1:29" ht="13" x14ac:dyDescent="0.3">
      <c r="A20" s="50">
        <v>9</v>
      </c>
      <c r="B20" s="26" t="s">
        <v>111</v>
      </c>
      <c r="C20" s="27" t="s">
        <v>60</v>
      </c>
      <c r="D20" s="51"/>
      <c r="E20" s="51"/>
      <c r="F20" s="51"/>
      <c r="G20" s="51"/>
      <c r="H20" s="49">
        <f t="shared" si="0"/>
        <v>0</v>
      </c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</row>
    <row r="21" spans="1:29" ht="13" x14ac:dyDescent="0.3">
      <c r="A21" s="50">
        <v>10</v>
      </c>
      <c r="B21" s="26" t="s">
        <v>112</v>
      </c>
      <c r="C21" s="27" t="s">
        <v>61</v>
      </c>
      <c r="D21" s="51"/>
      <c r="E21" s="51"/>
      <c r="F21" s="51"/>
      <c r="G21" s="51"/>
      <c r="H21" s="49">
        <f t="shared" si="0"/>
        <v>0</v>
      </c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</row>
    <row r="22" spans="1:29" ht="13" x14ac:dyDescent="0.3">
      <c r="A22" s="50">
        <v>11</v>
      </c>
      <c r="B22" s="26" t="s">
        <v>113</v>
      </c>
      <c r="C22" s="27" t="s">
        <v>62</v>
      </c>
      <c r="D22" s="51"/>
      <c r="E22" s="51"/>
      <c r="F22" s="51"/>
      <c r="G22" s="51"/>
      <c r="H22" s="49">
        <f t="shared" si="0"/>
        <v>0</v>
      </c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</row>
    <row r="23" spans="1:29" ht="13" x14ac:dyDescent="0.3">
      <c r="A23" s="50">
        <v>12</v>
      </c>
      <c r="B23" s="26" t="s">
        <v>114</v>
      </c>
      <c r="C23" s="27" t="s">
        <v>63</v>
      </c>
      <c r="D23" s="51"/>
      <c r="E23" s="51"/>
      <c r="F23" s="51"/>
      <c r="G23" s="51"/>
      <c r="H23" s="49">
        <f t="shared" si="0"/>
        <v>0</v>
      </c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</row>
    <row r="24" spans="1:29" ht="13" x14ac:dyDescent="0.3">
      <c r="A24" s="50">
        <v>13</v>
      </c>
      <c r="B24" s="26" t="s">
        <v>115</v>
      </c>
      <c r="C24" s="27" t="s">
        <v>64</v>
      </c>
      <c r="D24" s="51"/>
      <c r="E24" s="51"/>
      <c r="F24" s="51"/>
      <c r="G24" s="51"/>
      <c r="H24" s="49">
        <f t="shared" si="0"/>
        <v>0</v>
      </c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</row>
    <row r="25" spans="1:29" ht="13" x14ac:dyDescent="0.3">
      <c r="A25" s="50">
        <v>14</v>
      </c>
      <c r="B25" s="26" t="s">
        <v>116</v>
      </c>
      <c r="C25" s="27" t="s">
        <v>65</v>
      </c>
      <c r="D25" s="51"/>
      <c r="E25" s="51"/>
      <c r="F25" s="51"/>
      <c r="G25" s="51"/>
      <c r="H25" s="49">
        <f t="shared" si="0"/>
        <v>0</v>
      </c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</row>
    <row r="26" spans="1:29" ht="13" x14ac:dyDescent="0.3">
      <c r="A26" s="50">
        <v>15</v>
      </c>
      <c r="B26" s="26" t="s">
        <v>117</v>
      </c>
      <c r="C26" s="27" t="s">
        <v>66</v>
      </c>
      <c r="D26" s="51"/>
      <c r="E26" s="51"/>
      <c r="F26" s="51"/>
      <c r="G26" s="51"/>
      <c r="H26" s="49">
        <f t="shared" si="0"/>
        <v>0</v>
      </c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</row>
    <row r="27" spans="1:29" ht="13" x14ac:dyDescent="0.3">
      <c r="A27" s="50">
        <v>16</v>
      </c>
      <c r="B27" s="26" t="s">
        <v>118</v>
      </c>
      <c r="C27" s="27" t="s">
        <v>67</v>
      </c>
      <c r="D27" s="51"/>
      <c r="E27" s="51"/>
      <c r="F27" s="51"/>
      <c r="G27" s="51"/>
      <c r="H27" s="49">
        <f t="shared" si="0"/>
        <v>0</v>
      </c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</row>
    <row r="28" spans="1:29" ht="13" x14ac:dyDescent="0.3">
      <c r="A28" s="50">
        <v>17</v>
      </c>
      <c r="B28" s="26" t="s">
        <v>119</v>
      </c>
      <c r="C28" s="27" t="s">
        <v>68</v>
      </c>
      <c r="D28" s="51"/>
      <c r="E28" s="51"/>
      <c r="F28" s="51"/>
      <c r="G28" s="51"/>
      <c r="H28" s="49">
        <f t="shared" si="0"/>
        <v>0</v>
      </c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</row>
    <row r="29" spans="1:29" ht="13" x14ac:dyDescent="0.3">
      <c r="A29" s="50">
        <v>18</v>
      </c>
      <c r="B29" s="26" t="s">
        <v>120</v>
      </c>
      <c r="C29" s="27" t="s">
        <v>69</v>
      </c>
      <c r="D29" s="51"/>
      <c r="E29" s="51"/>
      <c r="F29" s="51"/>
      <c r="G29" s="51"/>
      <c r="H29" s="49">
        <f t="shared" si="0"/>
        <v>0</v>
      </c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</row>
    <row r="30" spans="1:29" ht="13" x14ac:dyDescent="0.3">
      <c r="A30" s="50">
        <v>19</v>
      </c>
      <c r="B30" s="26" t="s">
        <v>121</v>
      </c>
      <c r="C30" s="27" t="s">
        <v>70</v>
      </c>
      <c r="D30" s="51"/>
      <c r="E30" s="51"/>
      <c r="F30" s="51"/>
      <c r="G30" s="51"/>
      <c r="H30" s="49">
        <f t="shared" si="0"/>
        <v>0</v>
      </c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</row>
    <row r="31" spans="1:29" ht="13" x14ac:dyDescent="0.3">
      <c r="A31" s="50">
        <v>20</v>
      </c>
      <c r="B31" s="26" t="s">
        <v>122</v>
      </c>
      <c r="C31" s="27" t="s">
        <v>71</v>
      </c>
      <c r="D31" s="51"/>
      <c r="E31" s="51"/>
      <c r="F31" s="51"/>
      <c r="G31" s="51"/>
      <c r="H31" s="49">
        <f t="shared" si="0"/>
        <v>0</v>
      </c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</row>
    <row r="32" spans="1:29" ht="13" x14ac:dyDescent="0.3">
      <c r="A32" s="50">
        <v>21</v>
      </c>
      <c r="B32" s="26" t="s">
        <v>123</v>
      </c>
      <c r="C32" s="27" t="s">
        <v>72</v>
      </c>
      <c r="D32" s="51"/>
      <c r="E32" s="51"/>
      <c r="F32" s="51"/>
      <c r="G32" s="51"/>
      <c r="H32" s="49">
        <f t="shared" si="0"/>
        <v>0</v>
      </c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8" ht="13" x14ac:dyDescent="0.3">
      <c r="A33" s="50">
        <v>22</v>
      </c>
      <c r="B33" s="26" t="s">
        <v>124</v>
      </c>
      <c r="C33" s="27" t="s">
        <v>73</v>
      </c>
      <c r="D33" s="51"/>
      <c r="E33" s="51"/>
      <c r="F33" s="51"/>
      <c r="G33" s="51"/>
      <c r="H33" s="49">
        <f t="shared" si="0"/>
        <v>0</v>
      </c>
    </row>
    <row r="34" spans="1:8" ht="13" x14ac:dyDescent="0.3">
      <c r="A34" s="50">
        <v>23</v>
      </c>
      <c r="B34" s="26" t="s">
        <v>125</v>
      </c>
      <c r="C34" s="27" t="s">
        <v>74</v>
      </c>
      <c r="D34" s="51"/>
      <c r="E34" s="51"/>
      <c r="F34" s="51"/>
      <c r="G34" s="51"/>
      <c r="H34" s="49">
        <f t="shared" si="0"/>
        <v>0</v>
      </c>
    </row>
    <row r="35" spans="1:8" ht="13" x14ac:dyDescent="0.3">
      <c r="A35" s="50">
        <v>24</v>
      </c>
      <c r="B35" s="26" t="s">
        <v>126</v>
      </c>
      <c r="C35" s="27" t="s">
        <v>75</v>
      </c>
      <c r="D35" s="51"/>
      <c r="E35" s="51"/>
      <c r="F35" s="51"/>
      <c r="G35" s="51"/>
      <c r="H35" s="49">
        <f t="shared" si="0"/>
        <v>0</v>
      </c>
    </row>
    <row r="36" spans="1:8" ht="13" x14ac:dyDescent="0.3">
      <c r="A36" s="50">
        <v>25</v>
      </c>
      <c r="B36" s="26" t="s">
        <v>105</v>
      </c>
      <c r="C36" s="27" t="s">
        <v>76</v>
      </c>
      <c r="D36" s="51"/>
      <c r="E36" s="51"/>
      <c r="F36" s="51"/>
      <c r="G36" s="51"/>
      <c r="H36" s="49">
        <f t="shared" si="0"/>
        <v>0</v>
      </c>
    </row>
    <row r="37" spans="1:8" ht="13" x14ac:dyDescent="0.3">
      <c r="A37" s="50">
        <v>26</v>
      </c>
      <c r="B37" s="26" t="s">
        <v>127</v>
      </c>
      <c r="C37" s="27" t="s">
        <v>77</v>
      </c>
      <c r="D37" s="51"/>
      <c r="E37" s="51"/>
      <c r="F37" s="51"/>
      <c r="G37" s="51"/>
      <c r="H37" s="49">
        <f t="shared" si="0"/>
        <v>0</v>
      </c>
    </row>
    <row r="38" spans="1:8" ht="13" x14ac:dyDescent="0.3">
      <c r="A38" s="50">
        <v>27</v>
      </c>
      <c r="B38" s="26" t="s">
        <v>128</v>
      </c>
      <c r="C38" s="27" t="s">
        <v>78</v>
      </c>
      <c r="D38" s="51"/>
      <c r="E38" s="51"/>
      <c r="F38" s="51"/>
      <c r="G38" s="51"/>
      <c r="H38" s="49">
        <f t="shared" si="0"/>
        <v>0</v>
      </c>
    </row>
    <row r="39" spans="1:8" ht="13" x14ac:dyDescent="0.3">
      <c r="A39" s="50">
        <v>28</v>
      </c>
      <c r="B39" s="26" t="s">
        <v>129</v>
      </c>
      <c r="C39" s="27" t="s">
        <v>79</v>
      </c>
      <c r="D39" s="51"/>
      <c r="E39" s="51"/>
      <c r="F39" s="51"/>
      <c r="G39" s="51"/>
      <c r="H39" s="49">
        <f t="shared" si="0"/>
        <v>0</v>
      </c>
    </row>
    <row r="40" spans="1:8" ht="13" x14ac:dyDescent="0.3">
      <c r="A40" s="50">
        <v>29</v>
      </c>
      <c r="B40" s="26" t="s">
        <v>130</v>
      </c>
      <c r="C40" s="27" t="s">
        <v>80</v>
      </c>
      <c r="D40" s="51"/>
      <c r="E40" s="51"/>
      <c r="F40" s="51"/>
      <c r="G40" s="51"/>
      <c r="H40" s="49">
        <f t="shared" si="0"/>
        <v>0</v>
      </c>
    </row>
    <row r="41" spans="1:8" ht="13" x14ac:dyDescent="0.3">
      <c r="A41" s="50">
        <v>30</v>
      </c>
      <c r="B41" s="26" t="s">
        <v>131</v>
      </c>
      <c r="C41" s="27" t="s">
        <v>81</v>
      </c>
      <c r="D41" s="51"/>
      <c r="E41" s="51"/>
      <c r="F41" s="51"/>
      <c r="G41" s="51"/>
      <c r="H41" s="49">
        <f t="shared" si="0"/>
        <v>0</v>
      </c>
    </row>
    <row r="42" spans="1:8" ht="13" x14ac:dyDescent="0.3">
      <c r="A42" s="50">
        <v>31</v>
      </c>
      <c r="B42" s="26" t="s">
        <v>132</v>
      </c>
      <c r="C42" s="27" t="s">
        <v>82</v>
      </c>
      <c r="D42" s="51"/>
      <c r="E42" s="51"/>
      <c r="F42" s="51"/>
      <c r="G42" s="51"/>
      <c r="H42" s="49">
        <f t="shared" si="0"/>
        <v>0</v>
      </c>
    </row>
    <row r="43" spans="1:8" ht="13" x14ac:dyDescent="0.3">
      <c r="A43" s="50">
        <v>32</v>
      </c>
      <c r="B43" s="26" t="s">
        <v>133</v>
      </c>
      <c r="C43" s="27" t="s">
        <v>83</v>
      </c>
      <c r="D43" s="51"/>
      <c r="E43" s="51"/>
      <c r="F43" s="51"/>
      <c r="G43" s="51"/>
      <c r="H43" s="49">
        <f t="shared" si="0"/>
        <v>0</v>
      </c>
    </row>
    <row r="44" spans="1:8" ht="13" x14ac:dyDescent="0.3">
      <c r="A44" s="50">
        <v>33</v>
      </c>
      <c r="B44" s="26" t="s">
        <v>134</v>
      </c>
      <c r="C44" s="27" t="s">
        <v>84</v>
      </c>
      <c r="D44" s="51"/>
      <c r="E44" s="51"/>
      <c r="F44" s="51"/>
      <c r="G44" s="51"/>
      <c r="H44" s="49">
        <f t="shared" si="0"/>
        <v>0</v>
      </c>
    </row>
    <row r="45" spans="1:8" ht="13" x14ac:dyDescent="0.3">
      <c r="A45" s="50">
        <v>34</v>
      </c>
      <c r="B45" s="26" t="s">
        <v>135</v>
      </c>
      <c r="C45" s="27" t="s">
        <v>85</v>
      </c>
      <c r="D45" s="51"/>
      <c r="E45" s="51"/>
      <c r="F45" s="51"/>
      <c r="G45" s="51"/>
      <c r="H45" s="49">
        <f t="shared" si="0"/>
        <v>0</v>
      </c>
    </row>
    <row r="46" spans="1:8" ht="13" x14ac:dyDescent="0.3">
      <c r="A46" s="50">
        <v>35</v>
      </c>
      <c r="B46" s="26" t="s">
        <v>136</v>
      </c>
      <c r="C46" s="27" t="s">
        <v>86</v>
      </c>
      <c r="D46" s="51"/>
      <c r="E46" s="51"/>
      <c r="F46" s="51"/>
      <c r="G46" s="51"/>
      <c r="H46" s="49">
        <f t="shared" si="0"/>
        <v>0</v>
      </c>
    </row>
    <row r="47" spans="1:8" ht="13" x14ac:dyDescent="0.3">
      <c r="A47" s="50">
        <v>36</v>
      </c>
      <c r="B47" s="26" t="s">
        <v>137</v>
      </c>
      <c r="C47" s="27" t="s">
        <v>87</v>
      </c>
      <c r="D47" s="51"/>
      <c r="E47" s="51"/>
      <c r="F47" s="51"/>
      <c r="G47" s="51"/>
      <c r="H47" s="49">
        <f t="shared" si="0"/>
        <v>0</v>
      </c>
    </row>
    <row r="48" spans="1:8" ht="13" x14ac:dyDescent="0.3">
      <c r="A48" s="50">
        <v>37</v>
      </c>
      <c r="B48" s="26" t="s">
        <v>138</v>
      </c>
      <c r="C48" s="27" t="s">
        <v>88</v>
      </c>
      <c r="D48" s="51"/>
      <c r="E48" s="51"/>
      <c r="F48" s="51"/>
      <c r="G48" s="51"/>
      <c r="H48" s="49">
        <f t="shared" si="0"/>
        <v>0</v>
      </c>
    </row>
    <row r="49" spans="1:8" ht="13" x14ac:dyDescent="0.3">
      <c r="A49" s="50">
        <v>38</v>
      </c>
      <c r="B49" s="26" t="s">
        <v>139</v>
      </c>
      <c r="C49" s="27" t="s">
        <v>89</v>
      </c>
      <c r="D49" s="51"/>
      <c r="E49" s="51"/>
      <c r="F49" s="51"/>
      <c r="G49" s="51"/>
      <c r="H49" s="49">
        <f t="shared" si="0"/>
        <v>0</v>
      </c>
    </row>
    <row r="50" spans="1:8" ht="13" x14ac:dyDescent="0.3">
      <c r="A50" s="50">
        <v>39</v>
      </c>
      <c r="B50" s="26" t="s">
        <v>140</v>
      </c>
      <c r="C50" s="27" t="s">
        <v>90</v>
      </c>
      <c r="D50" s="51"/>
      <c r="E50" s="51"/>
      <c r="F50" s="51"/>
      <c r="G50" s="51"/>
      <c r="H50" s="49">
        <f t="shared" si="0"/>
        <v>0</v>
      </c>
    </row>
    <row r="51" spans="1:8" ht="13" x14ac:dyDescent="0.3">
      <c r="A51" s="50">
        <v>40</v>
      </c>
      <c r="B51" s="26" t="s">
        <v>141</v>
      </c>
      <c r="C51" s="27" t="s">
        <v>91</v>
      </c>
      <c r="D51" s="51"/>
      <c r="E51" s="51"/>
      <c r="F51" s="51"/>
      <c r="G51" s="51"/>
      <c r="H51" s="49">
        <f t="shared" si="0"/>
        <v>0</v>
      </c>
    </row>
    <row r="52" spans="1:8" ht="13" x14ac:dyDescent="0.3">
      <c r="A52" s="50">
        <v>41</v>
      </c>
      <c r="B52" s="26" t="s">
        <v>142</v>
      </c>
      <c r="C52" s="27" t="s">
        <v>92</v>
      </c>
      <c r="D52" s="51"/>
      <c r="E52" s="51"/>
      <c r="F52" s="51"/>
      <c r="G52" s="51"/>
      <c r="H52" s="49">
        <f t="shared" si="0"/>
        <v>0</v>
      </c>
    </row>
    <row r="53" spans="1:8" ht="13" x14ac:dyDescent="0.3">
      <c r="A53" s="50">
        <v>42</v>
      </c>
      <c r="B53" s="26" t="s">
        <v>143</v>
      </c>
      <c r="C53" s="27" t="s">
        <v>93</v>
      </c>
      <c r="D53" s="51"/>
      <c r="E53" s="51"/>
      <c r="F53" s="51"/>
      <c r="G53" s="51"/>
      <c r="H53" s="49">
        <f t="shared" si="0"/>
        <v>0</v>
      </c>
    </row>
    <row r="54" spans="1:8" ht="13" x14ac:dyDescent="0.3">
      <c r="A54" s="50">
        <v>43</v>
      </c>
      <c r="B54" s="26" t="s">
        <v>144</v>
      </c>
      <c r="C54" s="27" t="s">
        <v>94</v>
      </c>
      <c r="D54" s="51"/>
      <c r="E54" s="51"/>
      <c r="F54" s="51"/>
      <c r="G54" s="51"/>
      <c r="H54" s="49">
        <f t="shared" si="0"/>
        <v>0</v>
      </c>
    </row>
    <row r="55" spans="1:8" ht="13" x14ac:dyDescent="0.3">
      <c r="A55" s="50">
        <v>44</v>
      </c>
      <c r="B55" s="26" t="s">
        <v>145</v>
      </c>
      <c r="C55" s="27" t="s">
        <v>95</v>
      </c>
      <c r="D55" s="51"/>
      <c r="E55" s="51"/>
      <c r="F55" s="51"/>
      <c r="G55" s="51"/>
      <c r="H55" s="49">
        <f t="shared" si="0"/>
        <v>0</v>
      </c>
    </row>
    <row r="56" spans="1:8" ht="13" x14ac:dyDescent="0.3">
      <c r="A56" s="50">
        <v>45</v>
      </c>
      <c r="B56" s="26" t="s">
        <v>146</v>
      </c>
      <c r="C56" s="27" t="s">
        <v>96</v>
      </c>
      <c r="D56" s="51"/>
      <c r="E56" s="51"/>
      <c r="F56" s="51"/>
      <c r="G56" s="51"/>
      <c r="H56" s="49">
        <f t="shared" si="0"/>
        <v>0</v>
      </c>
    </row>
    <row r="57" spans="1:8" ht="13" x14ac:dyDescent="0.3">
      <c r="A57" s="50">
        <v>46</v>
      </c>
      <c r="B57" s="26" t="s">
        <v>147</v>
      </c>
      <c r="C57" s="27" t="s">
        <v>97</v>
      </c>
      <c r="D57" s="51"/>
      <c r="E57" s="51"/>
      <c r="F57" s="51"/>
      <c r="G57" s="51"/>
      <c r="H57" s="49">
        <f t="shared" si="0"/>
        <v>0</v>
      </c>
    </row>
    <row r="58" spans="1:8" ht="13" x14ac:dyDescent="0.3">
      <c r="A58" s="50">
        <v>47</v>
      </c>
      <c r="B58" s="26" t="s">
        <v>148</v>
      </c>
      <c r="C58" s="27" t="s">
        <v>98</v>
      </c>
      <c r="D58" s="51"/>
      <c r="E58" s="51"/>
      <c r="F58" s="51"/>
      <c r="G58" s="51"/>
      <c r="H58" s="49">
        <f t="shared" si="0"/>
        <v>0</v>
      </c>
    </row>
    <row r="59" spans="1:8" ht="13" x14ac:dyDescent="0.3">
      <c r="A59" s="50">
        <v>48</v>
      </c>
      <c r="B59" s="26" t="s">
        <v>149</v>
      </c>
      <c r="C59" s="27" t="s">
        <v>99</v>
      </c>
      <c r="D59" s="51"/>
      <c r="E59" s="51"/>
      <c r="F59" s="51"/>
      <c r="G59" s="51"/>
      <c r="H59" s="49">
        <f t="shared" si="0"/>
        <v>0</v>
      </c>
    </row>
    <row r="60" spans="1:8" ht="13" x14ac:dyDescent="0.3">
      <c r="A60" s="50">
        <v>49</v>
      </c>
      <c r="B60" s="28" t="s">
        <v>150</v>
      </c>
      <c r="C60" s="27" t="s">
        <v>100</v>
      </c>
      <c r="D60" s="52"/>
      <c r="E60" s="53"/>
      <c r="F60" s="54"/>
      <c r="G60" s="55"/>
      <c r="H60" s="49">
        <f t="shared" si="0"/>
        <v>0</v>
      </c>
    </row>
    <row r="61" spans="1:8" ht="13" x14ac:dyDescent="0.3">
      <c r="A61" s="50">
        <v>50</v>
      </c>
      <c r="B61" s="29" t="s">
        <v>151</v>
      </c>
      <c r="C61" s="27" t="s">
        <v>101</v>
      </c>
      <c r="D61" s="52"/>
      <c r="E61" s="53"/>
      <c r="F61" s="54"/>
      <c r="G61" s="55"/>
      <c r="H61" s="49">
        <f t="shared" si="0"/>
        <v>0</v>
      </c>
    </row>
    <row r="62" spans="1:8" ht="13" x14ac:dyDescent="0.3">
      <c r="A62" s="50">
        <v>51</v>
      </c>
      <c r="B62" s="26" t="s">
        <v>152</v>
      </c>
      <c r="C62" s="27" t="s">
        <v>102</v>
      </c>
      <c r="D62" s="52"/>
      <c r="E62" s="53"/>
      <c r="F62" s="54"/>
      <c r="G62" s="55"/>
      <c r="H62" s="49">
        <f t="shared" si="0"/>
        <v>0</v>
      </c>
    </row>
    <row r="63" spans="1:8" ht="13" x14ac:dyDescent="0.3">
      <c r="A63" s="50">
        <v>52</v>
      </c>
      <c r="B63" s="58"/>
      <c r="C63" s="30"/>
      <c r="D63" s="52"/>
      <c r="E63" s="53"/>
      <c r="F63" s="54"/>
      <c r="G63" s="55"/>
      <c r="H63" s="49">
        <f t="shared" si="0"/>
        <v>0</v>
      </c>
    </row>
    <row r="64" spans="1:8" ht="13" x14ac:dyDescent="0.3">
      <c r="A64" s="50">
        <v>53</v>
      </c>
      <c r="B64" s="58"/>
      <c r="C64" s="30"/>
      <c r="D64" s="52"/>
      <c r="E64" s="53"/>
      <c r="F64" s="54"/>
      <c r="G64" s="55"/>
      <c r="H64" s="49">
        <f t="shared" si="0"/>
        <v>0</v>
      </c>
    </row>
    <row r="65" spans="1:8" ht="13" x14ac:dyDescent="0.3">
      <c r="A65" s="50">
        <v>54</v>
      </c>
      <c r="B65" s="58"/>
      <c r="C65" s="30"/>
      <c r="D65" s="52"/>
      <c r="E65" s="53"/>
      <c r="F65" s="54"/>
      <c r="G65" s="55"/>
      <c r="H65" s="49">
        <f t="shared" si="0"/>
        <v>0</v>
      </c>
    </row>
    <row r="66" spans="1:8" ht="13" x14ac:dyDescent="0.3">
      <c r="A66" s="50">
        <v>55</v>
      </c>
      <c r="B66" s="58"/>
      <c r="C66" s="30"/>
      <c r="D66" s="52"/>
      <c r="E66" s="53"/>
      <c r="F66" s="54"/>
      <c r="G66" s="55"/>
      <c r="H66" s="49">
        <f t="shared" si="0"/>
        <v>0</v>
      </c>
    </row>
    <row r="67" spans="1:8" ht="13" x14ac:dyDescent="0.3">
      <c r="A67" s="50">
        <v>56</v>
      </c>
      <c r="B67" s="58"/>
      <c r="C67" s="30"/>
      <c r="D67" s="52"/>
      <c r="E67" s="53"/>
      <c r="F67" s="54"/>
      <c r="G67" s="55"/>
      <c r="H67" s="49">
        <f t="shared" si="0"/>
        <v>0</v>
      </c>
    </row>
    <row r="68" spans="1:8" ht="13" x14ac:dyDescent="0.3">
      <c r="A68" s="50">
        <v>57</v>
      </c>
      <c r="B68" s="58"/>
      <c r="C68" s="30"/>
      <c r="D68" s="52"/>
      <c r="E68" s="53"/>
      <c r="F68" s="54"/>
      <c r="G68" s="55"/>
      <c r="H68" s="49">
        <f t="shared" si="0"/>
        <v>0</v>
      </c>
    </row>
    <row r="69" spans="1:8" ht="13" x14ac:dyDescent="0.3">
      <c r="A69" s="50">
        <v>58</v>
      </c>
      <c r="B69" s="58"/>
      <c r="C69" s="30"/>
      <c r="D69" s="52"/>
      <c r="E69" s="53"/>
      <c r="F69" s="54"/>
      <c r="G69" s="55"/>
      <c r="H69" s="49">
        <f t="shared" si="0"/>
        <v>0</v>
      </c>
    </row>
    <row r="70" spans="1:8" ht="13" x14ac:dyDescent="0.3">
      <c r="A70" s="50">
        <v>59</v>
      </c>
      <c r="B70" s="58"/>
      <c r="C70" s="30"/>
      <c r="D70" s="52"/>
      <c r="E70" s="53"/>
      <c r="F70" s="54"/>
      <c r="G70" s="55"/>
      <c r="H70" s="49">
        <f t="shared" si="0"/>
        <v>0</v>
      </c>
    </row>
    <row r="71" spans="1:8" ht="13" x14ac:dyDescent="0.3">
      <c r="A71" s="50">
        <v>60</v>
      </c>
      <c r="B71" s="58"/>
      <c r="C71" s="30"/>
      <c r="D71" s="52"/>
      <c r="E71" s="53"/>
      <c r="F71" s="54"/>
      <c r="G71" s="55"/>
      <c r="H71" s="21">
        <f t="shared" si="0"/>
        <v>0</v>
      </c>
    </row>
    <row r="72" spans="1:8" x14ac:dyDescent="0.25">
      <c r="A72" s="8"/>
      <c r="B72" s="4"/>
      <c r="D72" s="33"/>
      <c r="E72" s="9"/>
      <c r="G72" s="56"/>
    </row>
    <row r="74" spans="1:8" ht="13" x14ac:dyDescent="0.3">
      <c r="A74" s="69" t="s">
        <v>15</v>
      </c>
      <c r="B74" s="70"/>
      <c r="C74" s="70"/>
      <c r="D74" s="70"/>
      <c r="E74" s="70"/>
      <c r="F74" s="70"/>
      <c r="G74" s="70"/>
      <c r="H74" s="70"/>
    </row>
  </sheetData>
  <mergeCells count="17">
    <mergeCell ref="A1:H1"/>
    <mergeCell ref="A2:H2"/>
    <mergeCell ref="B3:C3"/>
    <mergeCell ref="B4:C4"/>
    <mergeCell ref="D4:H4"/>
    <mergeCell ref="D3:H3"/>
    <mergeCell ref="B5:C5"/>
    <mergeCell ref="B6:C6"/>
    <mergeCell ref="B7:C7"/>
    <mergeCell ref="D5:H5"/>
    <mergeCell ref="D6:H6"/>
    <mergeCell ref="D7:H7"/>
    <mergeCell ref="A74:H74"/>
    <mergeCell ref="F9:G9"/>
    <mergeCell ref="A9:A11"/>
    <mergeCell ref="B9:B11"/>
    <mergeCell ref="C9:C11"/>
  </mergeCells>
  <printOptions horizontalCentered="1" verticalCentered="1"/>
  <pageMargins left="0.5" right="0.45" top="0" bottom="0" header="0" footer="0"/>
  <pageSetup paperSize="9" scale="115" orientation="portrait" r:id="rId1"/>
  <colBreaks count="1" manualBreakCount="1">
    <brk id="12" min="1" max="81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77"/>
  <sheetViews>
    <sheetView topLeftCell="A2" zoomScale="115" zoomScaleNormal="115" workbookViewId="0">
      <selection activeCell="F10" sqref="F10"/>
    </sheetView>
  </sheetViews>
  <sheetFormatPr defaultRowHeight="12.5" x14ac:dyDescent="0.25"/>
  <cols>
    <col min="1" max="1" width="6.81640625" style="31" customWidth="1"/>
    <col min="2" max="2" width="24.08984375" style="1" customWidth="1"/>
    <col min="3" max="3" width="9" style="1" customWidth="1"/>
    <col min="4" max="4" width="4.36328125" style="1" bestFit="1" customWidth="1"/>
    <col min="5" max="5" width="4.453125" style="1" bestFit="1" customWidth="1"/>
    <col min="6" max="6" width="4.1796875" style="1" bestFit="1" customWidth="1"/>
    <col min="7" max="7" width="5.08984375" style="1" customWidth="1"/>
    <col min="8" max="8" width="5.453125" style="1" bestFit="1" customWidth="1"/>
    <col min="9" max="9" width="9.90625" style="4" bestFit="1" customWidth="1"/>
    <col min="10" max="10" width="9.453125" style="4" bestFit="1" customWidth="1"/>
    <col min="11" max="11" width="6.7265625" style="4" customWidth="1"/>
    <col min="12" max="12" width="8.26953125" style="4" customWidth="1"/>
    <col min="13" max="13" width="0.26953125" style="4" customWidth="1"/>
    <col min="14" max="14" width="8.7265625" style="4"/>
    <col min="15" max="15" width="16.1796875" style="4" customWidth="1"/>
    <col min="16" max="16" width="5.54296875" style="4" customWidth="1"/>
    <col min="17" max="17" width="5.1796875" style="4" customWidth="1"/>
    <col min="18" max="18" width="8.7265625" style="4"/>
    <col min="19" max="19" width="10.54296875" style="4" customWidth="1"/>
    <col min="20" max="20" width="9" style="4" customWidth="1"/>
    <col min="21" max="21" width="5.7265625" style="4" customWidth="1"/>
    <col min="22" max="22" width="8.7265625" style="4"/>
    <col min="23" max="23" width="5.1796875" style="4" customWidth="1"/>
    <col min="24" max="24" width="8.7265625" style="4"/>
    <col min="25" max="25" width="5.7265625" style="4" customWidth="1"/>
    <col min="26" max="26" width="8.7265625" style="4"/>
    <col min="27" max="27" width="6.1796875" style="4" customWidth="1"/>
    <col min="28" max="28" width="7.7265625" style="4" customWidth="1"/>
    <col min="29" max="16384" width="8.7265625" style="4"/>
  </cols>
  <sheetData>
    <row r="1" spans="1:39" ht="18.75" customHeight="1" x14ac:dyDescent="0.25">
      <c r="A1" s="91" t="s">
        <v>5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N1" s="10"/>
      <c r="O1" s="10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</row>
    <row r="2" spans="1:39" ht="15.75" customHeight="1" x14ac:dyDescent="0.25">
      <c r="A2" s="91" t="s">
        <v>4</v>
      </c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N2" s="10"/>
      <c r="O2" s="10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</row>
    <row r="3" spans="1:39" ht="17.25" customHeight="1" x14ac:dyDescent="0.25">
      <c r="A3" s="91" t="s">
        <v>47</v>
      </c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17"/>
      <c r="N3" s="10"/>
      <c r="O3" s="10"/>
      <c r="P3" s="93"/>
      <c r="Q3" s="93"/>
      <c r="R3" s="93"/>
      <c r="S3" s="93"/>
      <c r="T3" s="93"/>
      <c r="U3" s="93"/>
      <c r="V3" s="93"/>
      <c r="W3" s="93"/>
      <c r="X3" s="93"/>
      <c r="Y3" s="93"/>
      <c r="Z3" s="93"/>
      <c r="AA3" s="93"/>
      <c r="AB3" s="93"/>
      <c r="AC3" s="93"/>
      <c r="AD3" s="93"/>
    </row>
    <row r="4" spans="1:39" ht="17.25" customHeight="1" x14ac:dyDescent="0.25">
      <c r="A4" s="94" t="s">
        <v>156</v>
      </c>
      <c r="B4" s="94"/>
      <c r="C4" s="94"/>
      <c r="D4" s="94"/>
      <c r="E4" s="94"/>
      <c r="F4" s="94"/>
      <c r="G4" s="94"/>
      <c r="H4" s="94"/>
      <c r="I4" s="94"/>
      <c r="J4" s="94"/>
      <c r="K4" s="94"/>
      <c r="L4" s="94"/>
      <c r="M4" s="17"/>
      <c r="N4" s="10"/>
      <c r="O4" s="10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3"/>
    </row>
    <row r="5" spans="1:39" ht="17.25" customHeight="1" x14ac:dyDescent="0.25">
      <c r="A5" s="94" t="s">
        <v>157</v>
      </c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17"/>
      <c r="N5" s="10"/>
      <c r="O5" s="10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  <c r="AA5" s="93"/>
      <c r="AB5" s="93"/>
      <c r="AC5" s="93"/>
      <c r="AD5" s="93"/>
    </row>
    <row r="6" spans="1:39" ht="12.65" customHeight="1" x14ac:dyDescent="0.25">
      <c r="A6" s="95" t="s">
        <v>51</v>
      </c>
      <c r="B6" s="95"/>
      <c r="C6" s="95"/>
      <c r="D6" s="95"/>
      <c r="E6" s="95"/>
      <c r="F6" s="95"/>
      <c r="G6" s="95"/>
      <c r="H6" s="95"/>
      <c r="I6" s="95"/>
      <c r="J6" s="95"/>
      <c r="K6" s="95"/>
      <c r="L6" s="91"/>
      <c r="M6" s="18"/>
      <c r="N6" s="10"/>
      <c r="O6" s="10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</row>
    <row r="7" spans="1:39" ht="27.75" customHeight="1" x14ac:dyDescent="0.25">
      <c r="A7" s="110" t="s">
        <v>8</v>
      </c>
      <c r="B7" s="100" t="s">
        <v>2</v>
      </c>
      <c r="C7" s="102" t="s">
        <v>1</v>
      </c>
      <c r="D7" s="19" t="s">
        <v>31</v>
      </c>
      <c r="E7" s="19" t="s">
        <v>32</v>
      </c>
      <c r="F7" s="19" t="s">
        <v>33</v>
      </c>
      <c r="G7" s="19" t="s">
        <v>34</v>
      </c>
      <c r="H7" s="19" t="s">
        <v>40</v>
      </c>
      <c r="I7" s="19" t="s">
        <v>16</v>
      </c>
      <c r="J7" s="19" t="s">
        <v>17</v>
      </c>
      <c r="K7" s="20" t="s">
        <v>3</v>
      </c>
      <c r="M7" s="10"/>
      <c r="N7" s="10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104"/>
      <c r="AC7" s="104"/>
    </row>
    <row r="8" spans="1:39" ht="12.75" customHeight="1" x14ac:dyDescent="0.3">
      <c r="A8" s="103"/>
      <c r="B8" s="101"/>
      <c r="C8" s="103"/>
      <c r="D8" s="15">
        <f>'Feb-25'!$G$11</f>
        <v>6</v>
      </c>
      <c r="E8" s="15">
        <f>'Mar-25'!$I$11</f>
        <v>12</v>
      </c>
      <c r="F8" s="21">
        <f>'Apr-25'!$I$11</f>
        <v>15</v>
      </c>
      <c r="G8" s="21">
        <f>'May-25'!$H$11</f>
        <v>12</v>
      </c>
      <c r="H8" s="21">
        <f>'June-25'!$H$11</f>
        <v>6</v>
      </c>
      <c r="I8" s="22">
        <f>SUM(D8:H8)</f>
        <v>51</v>
      </c>
      <c r="J8" s="23"/>
      <c r="K8" s="24">
        <f>(I8/$I$8)*100</f>
        <v>100</v>
      </c>
      <c r="M8" s="10"/>
      <c r="N8" s="10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104"/>
      <c r="AC8" s="104"/>
    </row>
    <row r="9" spans="1:39" ht="15.75" customHeight="1" x14ac:dyDescent="0.3">
      <c r="A9" s="25">
        <v>1</v>
      </c>
      <c r="B9" s="26" t="s">
        <v>103</v>
      </c>
      <c r="C9" s="36" t="s">
        <v>52</v>
      </c>
      <c r="D9" s="15">
        <f>'Feb-25'!$G$12</f>
        <v>0</v>
      </c>
      <c r="E9" s="15">
        <f>'Mar-25'!$I$12</f>
        <v>9</v>
      </c>
      <c r="F9" s="21">
        <f>'Apr-25'!$I$12</f>
        <v>6</v>
      </c>
      <c r="G9" s="21">
        <f>'May-25'!$H$12</f>
        <v>3</v>
      </c>
      <c r="H9" s="21">
        <f>'June-25'!$H$12</f>
        <v>0</v>
      </c>
      <c r="I9" s="22">
        <f t="shared" ref="I9:I68" si="0">SUM(D9:H9)</f>
        <v>18</v>
      </c>
      <c r="J9" s="23"/>
      <c r="K9" s="24">
        <f t="shared" ref="K9:K68" si="1">(I9/$I$8)*100</f>
        <v>35.294117647058826</v>
      </c>
      <c r="L9" s="2"/>
      <c r="M9" s="105"/>
      <c r="N9" s="105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2"/>
      <c r="AE9" s="2"/>
      <c r="AF9" s="2"/>
      <c r="AG9" s="2"/>
      <c r="AH9" s="2"/>
      <c r="AI9" s="2"/>
      <c r="AJ9" s="2"/>
      <c r="AK9" s="2"/>
      <c r="AL9" s="2"/>
      <c r="AM9" s="3"/>
    </row>
    <row r="10" spans="1:39" ht="16" x14ac:dyDescent="0.3">
      <c r="A10" s="25">
        <v>2</v>
      </c>
      <c r="B10" s="26" t="s">
        <v>104</v>
      </c>
      <c r="C10" s="36" t="s">
        <v>53</v>
      </c>
      <c r="D10" s="15">
        <f>'Feb-25'!$G$13</f>
        <v>0</v>
      </c>
      <c r="E10" s="15">
        <f>'Mar-25'!$I$13</f>
        <v>9</v>
      </c>
      <c r="F10" s="21">
        <f>'Apr-25'!$I$13</f>
        <v>3</v>
      </c>
      <c r="G10" s="21">
        <f>'May-25'!$H$13</f>
        <v>0</v>
      </c>
      <c r="H10" s="21">
        <f>'June-25'!$H$13</f>
        <v>0</v>
      </c>
      <c r="I10" s="22">
        <f t="shared" si="0"/>
        <v>12</v>
      </c>
      <c r="J10" s="23"/>
      <c r="K10" s="24">
        <f t="shared" si="1"/>
        <v>23.52941176470588</v>
      </c>
      <c r="M10" s="99"/>
      <c r="N10" s="99"/>
      <c r="O10" s="99"/>
      <c r="P10" s="99"/>
      <c r="Q10" s="99"/>
      <c r="R10" s="99"/>
      <c r="S10" s="97"/>
      <c r="T10" s="97"/>
      <c r="U10" s="97"/>
      <c r="V10" s="97"/>
      <c r="W10" s="96"/>
      <c r="X10" s="96"/>
      <c r="Y10" s="97"/>
      <c r="Z10" s="97"/>
      <c r="AA10" s="11"/>
      <c r="AB10" s="98"/>
      <c r="AC10" s="98"/>
    </row>
    <row r="11" spans="1:39" ht="16" x14ac:dyDescent="0.3">
      <c r="A11" s="25">
        <v>3</v>
      </c>
      <c r="B11" s="26" t="s">
        <v>105</v>
      </c>
      <c r="C11" s="36" t="s">
        <v>54</v>
      </c>
      <c r="D11" s="15">
        <f>'Feb-25'!$G$14</f>
        <v>0</v>
      </c>
      <c r="E11" s="15">
        <f>'Mar-25'!$I$14</f>
        <v>9</v>
      </c>
      <c r="F11" s="21">
        <f>'Apr-25'!$I$14</f>
        <v>3</v>
      </c>
      <c r="G11" s="21">
        <f>'May-25'!$H$14</f>
        <v>3</v>
      </c>
      <c r="H11" s="21">
        <f>'June-25'!$H$14</f>
        <v>0</v>
      </c>
      <c r="I11" s="22">
        <f t="shared" si="0"/>
        <v>15</v>
      </c>
      <c r="J11" s="23"/>
      <c r="K11" s="24">
        <f t="shared" si="1"/>
        <v>29.411764705882355</v>
      </c>
      <c r="M11" s="99"/>
      <c r="N11" s="99"/>
      <c r="O11" s="99"/>
      <c r="P11" s="99"/>
      <c r="Q11" s="99"/>
      <c r="R11" s="99"/>
      <c r="S11" s="10"/>
      <c r="T11" s="10"/>
      <c r="U11" s="10"/>
      <c r="V11" s="10"/>
      <c r="W11" s="10"/>
      <c r="X11" s="10"/>
      <c r="Y11" s="10"/>
      <c r="Z11" s="10"/>
      <c r="AA11" s="12"/>
      <c r="AB11" s="98"/>
      <c r="AC11" s="98"/>
    </row>
    <row r="12" spans="1:39" ht="16" x14ac:dyDescent="0.3">
      <c r="A12" s="25">
        <v>4</v>
      </c>
      <c r="B12" s="26" t="s">
        <v>106</v>
      </c>
      <c r="C12" s="36" t="s">
        <v>55</v>
      </c>
      <c r="D12" s="15">
        <f>'Feb-25'!$G$15</f>
        <v>0</v>
      </c>
      <c r="E12" s="15">
        <f>'Mar-25'!$I$15</f>
        <v>9</v>
      </c>
      <c r="F12" s="21">
        <f>'Apr-25'!$I$15</f>
        <v>6</v>
      </c>
      <c r="G12" s="21">
        <f>'May-25'!$H$15</f>
        <v>3</v>
      </c>
      <c r="H12" s="21">
        <f>'June-25'!$H$15</f>
        <v>0</v>
      </c>
      <c r="I12" s="22">
        <f t="shared" si="0"/>
        <v>18</v>
      </c>
      <c r="J12" s="23"/>
      <c r="K12" s="24">
        <f t="shared" si="1"/>
        <v>35.294117647058826</v>
      </c>
      <c r="M12" s="99"/>
      <c r="N12" s="99"/>
      <c r="O12" s="10"/>
      <c r="P12" s="10"/>
      <c r="Q12" s="99"/>
      <c r="R12" s="99"/>
      <c r="S12" s="10"/>
      <c r="T12" s="10"/>
      <c r="U12" s="10"/>
      <c r="V12" s="10"/>
      <c r="W12" s="10"/>
      <c r="X12" s="10"/>
      <c r="Y12" s="10"/>
      <c r="Z12" s="10"/>
      <c r="AA12" s="12"/>
      <c r="AB12" s="98"/>
      <c r="AC12" s="98"/>
    </row>
    <row r="13" spans="1:39" ht="16" x14ac:dyDescent="0.3">
      <c r="A13" s="25">
        <v>5</v>
      </c>
      <c r="B13" s="26" t="s">
        <v>107</v>
      </c>
      <c r="C13" s="36" t="s">
        <v>56</v>
      </c>
      <c r="D13" s="15">
        <f>'Feb-25'!$G$16</f>
        <v>0</v>
      </c>
      <c r="E13" s="15">
        <f>'Mar-25'!$I$16</f>
        <v>6</v>
      </c>
      <c r="F13" s="21">
        <f>'Apr-25'!$I$16</f>
        <v>6</v>
      </c>
      <c r="G13" s="21">
        <f>'May-25'!$H$16</f>
        <v>3</v>
      </c>
      <c r="H13" s="21">
        <f>'June-25'!$H$16</f>
        <v>0</v>
      </c>
      <c r="I13" s="22">
        <f t="shared" si="0"/>
        <v>15</v>
      </c>
      <c r="J13" s="23"/>
      <c r="K13" s="24">
        <f t="shared" si="1"/>
        <v>29.411764705882355</v>
      </c>
      <c r="M13" s="98"/>
      <c r="N13" s="98"/>
      <c r="O13" s="99"/>
      <c r="P13" s="99"/>
      <c r="Q13" s="98"/>
      <c r="R13" s="98"/>
      <c r="S13" s="99"/>
      <c r="T13" s="99"/>
      <c r="U13" s="99"/>
      <c r="V13" s="99"/>
      <c r="W13" s="99"/>
      <c r="X13" s="99"/>
      <c r="Y13" s="99"/>
      <c r="Z13" s="99"/>
      <c r="AA13" s="99"/>
      <c r="AB13" s="99"/>
      <c r="AC13" s="99"/>
    </row>
    <row r="14" spans="1:39" ht="15.75" customHeight="1" x14ac:dyDescent="0.3">
      <c r="A14" s="25">
        <v>6</v>
      </c>
      <c r="B14" s="26" t="s">
        <v>108</v>
      </c>
      <c r="C14" s="36" t="s">
        <v>57</v>
      </c>
      <c r="D14" s="15">
        <f>'Feb-25'!$G$17</f>
        <v>0</v>
      </c>
      <c r="E14" s="15">
        <f>'Mar-25'!$I$17</f>
        <v>9</v>
      </c>
      <c r="F14" s="21">
        <f>'Apr-25'!$I$17</f>
        <v>6</v>
      </c>
      <c r="G14" s="21">
        <f>'May-25'!$H$17</f>
        <v>3</v>
      </c>
      <c r="H14" s="21">
        <f>'June-25'!$H$17</f>
        <v>0</v>
      </c>
      <c r="I14" s="22">
        <f t="shared" si="0"/>
        <v>18</v>
      </c>
      <c r="J14" s="23"/>
      <c r="K14" s="24">
        <f t="shared" si="1"/>
        <v>35.294117647058826</v>
      </c>
      <c r="M14" s="98"/>
      <c r="N14" s="98"/>
      <c r="O14" s="99"/>
      <c r="P14" s="99"/>
      <c r="Q14" s="98"/>
      <c r="R14" s="98"/>
      <c r="S14" s="99"/>
      <c r="T14" s="99"/>
      <c r="U14" s="99"/>
      <c r="V14" s="99"/>
      <c r="W14" s="99"/>
      <c r="X14" s="99"/>
      <c r="Y14" s="99"/>
      <c r="Z14" s="99"/>
      <c r="AA14" s="99"/>
      <c r="AB14" s="99"/>
      <c r="AC14" s="99"/>
    </row>
    <row r="15" spans="1:39" ht="16" x14ac:dyDescent="0.3">
      <c r="A15" s="25">
        <v>7</v>
      </c>
      <c r="B15" s="26" t="s">
        <v>109</v>
      </c>
      <c r="C15" s="36" t="s">
        <v>58</v>
      </c>
      <c r="D15" s="15">
        <f>'Feb-25'!$G$18</f>
        <v>0</v>
      </c>
      <c r="E15" s="15">
        <f>'Mar-25'!$I$18</f>
        <v>3</v>
      </c>
      <c r="F15" s="21">
        <f>'Apr-25'!$I$18</f>
        <v>3</v>
      </c>
      <c r="G15" s="21">
        <f>'May-25'!$H$18</f>
        <v>0</v>
      </c>
      <c r="H15" s="21">
        <f>'June-25'!$H$18</f>
        <v>0</v>
      </c>
      <c r="I15" s="22">
        <f t="shared" si="0"/>
        <v>6</v>
      </c>
      <c r="J15" s="23"/>
      <c r="K15" s="24">
        <f t="shared" si="1"/>
        <v>11.76470588235294</v>
      </c>
      <c r="M15" s="98"/>
      <c r="N15" s="98"/>
      <c r="O15" s="99"/>
      <c r="P15" s="99"/>
      <c r="Q15" s="98"/>
      <c r="R15" s="98"/>
      <c r="S15" s="99"/>
      <c r="T15" s="99"/>
      <c r="U15" s="99"/>
      <c r="V15" s="99"/>
      <c r="W15" s="99"/>
      <c r="X15" s="99"/>
      <c r="Y15" s="99"/>
      <c r="Z15" s="99"/>
      <c r="AA15" s="99"/>
      <c r="AB15" s="99"/>
      <c r="AC15" s="99"/>
    </row>
    <row r="16" spans="1:39" ht="16" x14ac:dyDescent="0.3">
      <c r="A16" s="25">
        <v>8</v>
      </c>
      <c r="B16" s="26" t="s">
        <v>110</v>
      </c>
      <c r="C16" s="36" t="s">
        <v>59</v>
      </c>
      <c r="D16" s="15">
        <f>'Feb-25'!$G$19</f>
        <v>0</v>
      </c>
      <c r="E16" s="15">
        <f>'Mar-25'!$I$19</f>
        <v>9</v>
      </c>
      <c r="F16" s="21">
        <f>'Apr-25'!$I$19</f>
        <v>6</v>
      </c>
      <c r="G16" s="21">
        <f>'May-25'!$H$19</f>
        <v>0</v>
      </c>
      <c r="H16" s="21">
        <f>'June-25'!$H$19</f>
        <v>0</v>
      </c>
      <c r="I16" s="22">
        <f t="shared" si="0"/>
        <v>15</v>
      </c>
      <c r="J16" s="23"/>
      <c r="K16" s="24">
        <f t="shared" si="1"/>
        <v>29.411764705882355</v>
      </c>
      <c r="M16" s="98"/>
      <c r="N16" s="98"/>
      <c r="O16" s="99"/>
      <c r="P16" s="99"/>
      <c r="Q16" s="98"/>
      <c r="R16" s="98"/>
      <c r="S16" s="99"/>
      <c r="T16" s="99"/>
      <c r="U16" s="99"/>
      <c r="V16" s="99"/>
      <c r="W16" s="99"/>
      <c r="X16" s="99"/>
      <c r="Y16" s="99"/>
      <c r="Z16" s="99"/>
      <c r="AA16" s="99"/>
      <c r="AB16" s="99"/>
      <c r="AC16" s="99"/>
    </row>
    <row r="17" spans="1:29" ht="16" x14ac:dyDescent="0.3">
      <c r="A17" s="25">
        <v>9</v>
      </c>
      <c r="B17" s="26" t="s">
        <v>111</v>
      </c>
      <c r="C17" s="36" t="s">
        <v>60</v>
      </c>
      <c r="D17" s="15">
        <f>'Feb-25'!$G$20</f>
        <v>0</v>
      </c>
      <c r="E17" s="15">
        <f>'Mar-25'!$I$20</f>
        <v>6</v>
      </c>
      <c r="F17" s="21">
        <f>'Apr-25'!$I$20</f>
        <v>0</v>
      </c>
      <c r="G17" s="21">
        <f>'May-25'!$H$20</f>
        <v>0</v>
      </c>
      <c r="H17" s="21">
        <f>'June-25'!$H$20</f>
        <v>0</v>
      </c>
      <c r="I17" s="22">
        <f t="shared" si="0"/>
        <v>6</v>
      </c>
      <c r="J17" s="23"/>
      <c r="K17" s="24">
        <f t="shared" si="1"/>
        <v>11.76470588235294</v>
      </c>
      <c r="M17" s="98"/>
      <c r="N17" s="98"/>
      <c r="O17" s="99"/>
      <c r="P17" s="99"/>
      <c r="Q17" s="98"/>
      <c r="R17" s="98"/>
      <c r="S17" s="99"/>
      <c r="T17" s="99"/>
      <c r="U17" s="99"/>
      <c r="V17" s="99"/>
      <c r="W17" s="99"/>
      <c r="X17" s="99"/>
      <c r="Y17" s="99"/>
      <c r="Z17" s="99"/>
      <c r="AA17" s="99"/>
      <c r="AB17" s="99"/>
      <c r="AC17" s="99"/>
    </row>
    <row r="18" spans="1:29" ht="16" x14ac:dyDescent="0.3">
      <c r="A18" s="25">
        <v>10</v>
      </c>
      <c r="B18" s="26" t="s">
        <v>112</v>
      </c>
      <c r="C18" s="36" t="s">
        <v>61</v>
      </c>
      <c r="D18" s="15">
        <f>'Feb-25'!$G$21</f>
        <v>0</v>
      </c>
      <c r="E18" s="15">
        <f>'Mar-25'!$I$21</f>
        <v>9</v>
      </c>
      <c r="F18" s="21">
        <f>'Apr-25'!$I$21</f>
        <v>6</v>
      </c>
      <c r="G18" s="21">
        <f>'May-25'!$H$21</f>
        <v>3</v>
      </c>
      <c r="H18" s="21">
        <f>'June-25'!$H$21</f>
        <v>0</v>
      </c>
      <c r="I18" s="22">
        <f t="shared" si="0"/>
        <v>18</v>
      </c>
      <c r="J18" s="23"/>
      <c r="K18" s="24">
        <f t="shared" si="1"/>
        <v>35.294117647058826</v>
      </c>
      <c r="M18" s="98"/>
      <c r="N18" s="98"/>
      <c r="O18" s="99"/>
      <c r="P18" s="99"/>
      <c r="Q18" s="98"/>
      <c r="R18" s="98"/>
      <c r="S18" s="99"/>
      <c r="T18" s="99"/>
      <c r="U18" s="99"/>
      <c r="V18" s="99"/>
      <c r="W18" s="99"/>
      <c r="X18" s="99"/>
      <c r="Y18" s="99"/>
      <c r="Z18" s="99"/>
      <c r="AA18" s="99"/>
      <c r="AB18" s="99"/>
      <c r="AC18" s="99"/>
    </row>
    <row r="19" spans="1:29" ht="16" x14ac:dyDescent="0.3">
      <c r="A19" s="25">
        <v>11</v>
      </c>
      <c r="B19" s="26" t="s">
        <v>113</v>
      </c>
      <c r="C19" s="36" t="s">
        <v>62</v>
      </c>
      <c r="D19" s="15">
        <f>'Feb-25'!$G$22</f>
        <v>0</v>
      </c>
      <c r="E19" s="15">
        <f>'Mar-25'!$I$22</f>
        <v>9</v>
      </c>
      <c r="F19" s="21">
        <f>'Apr-25'!$I$22</f>
        <v>6</v>
      </c>
      <c r="G19" s="21">
        <f>'May-25'!$H$22</f>
        <v>0</v>
      </c>
      <c r="H19" s="21">
        <f>'June-25'!$H$22</f>
        <v>0</v>
      </c>
      <c r="I19" s="22">
        <f t="shared" si="0"/>
        <v>15</v>
      </c>
      <c r="J19" s="23"/>
      <c r="K19" s="24">
        <f t="shared" si="1"/>
        <v>29.411764705882355</v>
      </c>
      <c r="M19" s="98"/>
      <c r="N19" s="98"/>
      <c r="O19" s="99"/>
      <c r="P19" s="99"/>
      <c r="Q19" s="98"/>
      <c r="R19" s="98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9"/>
    </row>
    <row r="20" spans="1:29" ht="16" x14ac:dyDescent="0.3">
      <c r="A20" s="25">
        <v>12</v>
      </c>
      <c r="B20" s="26" t="s">
        <v>114</v>
      </c>
      <c r="C20" s="36" t="s">
        <v>63</v>
      </c>
      <c r="D20" s="15">
        <f>'Feb-25'!$G$23</f>
        <v>0</v>
      </c>
      <c r="E20" s="15">
        <f>'Mar-25'!$I$23</f>
        <v>9</v>
      </c>
      <c r="F20" s="21">
        <f>'Apr-25'!$I$23</f>
        <v>3</v>
      </c>
      <c r="G20" s="21">
        <f>'May-25'!$H$23</f>
        <v>3</v>
      </c>
      <c r="H20" s="21">
        <f>'June-25'!$H$23</f>
        <v>0</v>
      </c>
      <c r="I20" s="22">
        <f t="shared" si="0"/>
        <v>15</v>
      </c>
      <c r="J20" s="23"/>
      <c r="K20" s="24">
        <f t="shared" si="1"/>
        <v>29.411764705882355</v>
      </c>
      <c r="M20" s="98"/>
      <c r="N20" s="98"/>
      <c r="O20" s="99"/>
      <c r="P20" s="99"/>
      <c r="Q20" s="98"/>
      <c r="R20" s="98"/>
      <c r="S20" s="99"/>
      <c r="T20" s="99"/>
      <c r="U20" s="99"/>
      <c r="V20" s="99"/>
      <c r="W20" s="99"/>
      <c r="X20" s="99"/>
      <c r="Y20" s="99"/>
      <c r="Z20" s="99"/>
      <c r="AA20" s="99"/>
      <c r="AB20" s="99"/>
      <c r="AC20" s="99"/>
    </row>
    <row r="21" spans="1:29" ht="16" x14ac:dyDescent="0.3">
      <c r="A21" s="25">
        <v>13</v>
      </c>
      <c r="B21" s="26" t="s">
        <v>115</v>
      </c>
      <c r="C21" s="36" t="s">
        <v>64</v>
      </c>
      <c r="D21" s="15">
        <f>'Feb-25'!$G$24</f>
        <v>0</v>
      </c>
      <c r="E21" s="15">
        <f>'Mar-25'!$I$24</f>
        <v>9</v>
      </c>
      <c r="F21" s="21">
        <f>'Apr-25'!$I$24</f>
        <v>6</v>
      </c>
      <c r="G21" s="21">
        <f>'May-25'!$H$24</f>
        <v>3</v>
      </c>
      <c r="H21" s="21">
        <f>'June-25'!$H$24</f>
        <v>0</v>
      </c>
      <c r="I21" s="22">
        <f t="shared" si="0"/>
        <v>18</v>
      </c>
      <c r="J21" s="23"/>
      <c r="K21" s="24">
        <f t="shared" si="1"/>
        <v>35.294117647058826</v>
      </c>
      <c r="M21" s="98"/>
      <c r="N21" s="98"/>
      <c r="O21" s="99"/>
      <c r="P21" s="99"/>
      <c r="Q21" s="98"/>
      <c r="R21" s="98"/>
      <c r="S21" s="99"/>
      <c r="T21" s="99"/>
      <c r="U21" s="99"/>
      <c r="V21" s="99"/>
      <c r="W21" s="99"/>
      <c r="X21" s="99"/>
      <c r="Y21" s="99"/>
      <c r="Z21" s="99"/>
      <c r="AA21" s="99"/>
      <c r="AB21" s="99"/>
      <c r="AC21" s="99"/>
    </row>
    <row r="22" spans="1:29" ht="16" x14ac:dyDescent="0.3">
      <c r="A22" s="25">
        <v>14</v>
      </c>
      <c r="B22" s="26" t="s">
        <v>116</v>
      </c>
      <c r="C22" s="36" t="s">
        <v>65</v>
      </c>
      <c r="D22" s="15">
        <f>'Feb-25'!$G$25</f>
        <v>0</v>
      </c>
      <c r="E22" s="15">
        <f>'Mar-25'!$I$25</f>
        <v>9</v>
      </c>
      <c r="F22" s="21">
        <f>'Apr-25'!$I$25</f>
        <v>6</v>
      </c>
      <c r="G22" s="21">
        <f>'May-25'!$H$25</f>
        <v>3</v>
      </c>
      <c r="H22" s="21">
        <f>'June-25'!$H$25</f>
        <v>0</v>
      </c>
      <c r="I22" s="22">
        <f t="shared" si="0"/>
        <v>18</v>
      </c>
      <c r="J22" s="23"/>
      <c r="K22" s="24">
        <f t="shared" si="1"/>
        <v>35.294117647058826</v>
      </c>
      <c r="M22" s="98"/>
      <c r="N22" s="98"/>
      <c r="O22" s="99"/>
      <c r="P22" s="99"/>
      <c r="Q22" s="98"/>
      <c r="R22" s="98"/>
      <c r="S22" s="99"/>
      <c r="T22" s="99"/>
      <c r="U22" s="99"/>
      <c r="V22" s="99"/>
      <c r="W22" s="99"/>
      <c r="X22" s="99"/>
      <c r="Y22" s="99"/>
      <c r="Z22" s="99"/>
      <c r="AA22" s="99"/>
      <c r="AB22" s="99"/>
      <c r="AC22" s="99"/>
    </row>
    <row r="23" spans="1:29" ht="16" x14ac:dyDescent="0.3">
      <c r="A23" s="25">
        <v>15</v>
      </c>
      <c r="B23" s="26" t="s">
        <v>117</v>
      </c>
      <c r="C23" s="36" t="s">
        <v>66</v>
      </c>
      <c r="D23" s="15">
        <f>'Feb-25'!$G$26</f>
        <v>0</v>
      </c>
      <c r="E23" s="15">
        <f>'Mar-25'!$I$26</f>
        <v>9</v>
      </c>
      <c r="F23" s="21">
        <f>'Apr-25'!$I$26</f>
        <v>3</v>
      </c>
      <c r="G23" s="21">
        <f>'May-25'!$H$26</f>
        <v>3</v>
      </c>
      <c r="H23" s="21">
        <f>'June-25'!$H$26</f>
        <v>0</v>
      </c>
      <c r="I23" s="22">
        <f t="shared" si="0"/>
        <v>15</v>
      </c>
      <c r="J23" s="23"/>
      <c r="K23" s="24">
        <f t="shared" si="1"/>
        <v>29.411764705882355</v>
      </c>
      <c r="M23" s="98"/>
      <c r="N23" s="98"/>
      <c r="O23" s="11"/>
      <c r="P23" s="11"/>
      <c r="Q23" s="11"/>
      <c r="R23" s="11"/>
      <c r="S23" s="11"/>
      <c r="T23" s="11"/>
      <c r="U23" s="11"/>
      <c r="V23" s="11"/>
      <c r="W23" s="11"/>
      <c r="X23" s="99"/>
      <c r="Y23" s="99"/>
      <c r="Z23" s="99"/>
      <c r="AA23" s="99"/>
      <c r="AB23" s="99"/>
      <c r="AC23" s="99"/>
    </row>
    <row r="24" spans="1:29" ht="16" x14ac:dyDescent="0.3">
      <c r="A24" s="25">
        <v>16</v>
      </c>
      <c r="B24" s="26" t="s">
        <v>118</v>
      </c>
      <c r="C24" s="36" t="s">
        <v>67</v>
      </c>
      <c r="D24" s="15">
        <f>'Feb-25'!$G$27</f>
        <v>0</v>
      </c>
      <c r="E24" s="15">
        <f>'Mar-25'!$I$27</f>
        <v>9</v>
      </c>
      <c r="F24" s="21">
        <f>'Apr-25'!$I$27</f>
        <v>6</v>
      </c>
      <c r="G24" s="21">
        <f>'May-25'!$H$27</f>
        <v>3</v>
      </c>
      <c r="H24" s="21">
        <f>'June-25'!$H$27</f>
        <v>0</v>
      </c>
      <c r="I24" s="22">
        <f t="shared" si="0"/>
        <v>18</v>
      </c>
      <c r="J24" s="23"/>
      <c r="K24" s="24">
        <f t="shared" si="1"/>
        <v>35.294117647058826</v>
      </c>
      <c r="M24" s="13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99"/>
      <c r="Y24" s="99"/>
      <c r="Z24" s="99"/>
      <c r="AA24" s="99"/>
      <c r="AB24" s="99"/>
      <c r="AC24" s="99"/>
    </row>
    <row r="25" spans="1:29" ht="16" x14ac:dyDescent="0.3">
      <c r="A25" s="25">
        <v>17</v>
      </c>
      <c r="B25" s="26" t="s">
        <v>119</v>
      </c>
      <c r="C25" s="36" t="s">
        <v>68</v>
      </c>
      <c r="D25" s="15">
        <f>'Feb-25'!$G$28</f>
        <v>0</v>
      </c>
      <c r="E25" s="15">
        <f>'Mar-25'!$I$28</f>
        <v>9</v>
      </c>
      <c r="F25" s="21">
        <f>'Apr-25'!$I$28</f>
        <v>3</v>
      </c>
      <c r="G25" s="21">
        <f>'May-25'!$H$28</f>
        <v>3</v>
      </c>
      <c r="H25" s="21">
        <f>'June-25'!$H$28</f>
        <v>0</v>
      </c>
      <c r="I25" s="22">
        <f t="shared" si="0"/>
        <v>15</v>
      </c>
      <c r="J25" s="23"/>
      <c r="K25" s="24">
        <f t="shared" si="1"/>
        <v>29.411764705882355</v>
      </c>
      <c r="M25" s="13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0"/>
      <c r="Y25" s="10"/>
      <c r="Z25" s="10"/>
      <c r="AA25" s="10"/>
      <c r="AB25" s="10"/>
      <c r="AC25" s="10"/>
    </row>
    <row r="26" spans="1:29" ht="16" x14ac:dyDescent="0.3">
      <c r="A26" s="25">
        <v>18</v>
      </c>
      <c r="B26" s="26" t="s">
        <v>120</v>
      </c>
      <c r="C26" s="36" t="s">
        <v>69</v>
      </c>
      <c r="D26" s="15">
        <f>'Feb-25'!$G$29</f>
        <v>0</v>
      </c>
      <c r="E26" s="15">
        <f>'Mar-25'!$I$29</f>
        <v>9</v>
      </c>
      <c r="F26" s="21">
        <f>'Apr-25'!$I$29</f>
        <v>6</v>
      </c>
      <c r="G26" s="21">
        <f>'May-25'!$H$29</f>
        <v>3</v>
      </c>
      <c r="H26" s="21">
        <f>'June-25'!$H$29</f>
        <v>0</v>
      </c>
      <c r="I26" s="22">
        <f t="shared" si="0"/>
        <v>18</v>
      </c>
      <c r="J26" s="23"/>
      <c r="K26" s="24">
        <f t="shared" si="1"/>
        <v>35.294117647058826</v>
      </c>
      <c r="M26" s="13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0"/>
      <c r="Y26" s="10"/>
      <c r="Z26" s="10"/>
      <c r="AA26" s="10"/>
      <c r="AB26" s="10"/>
      <c r="AC26" s="10"/>
    </row>
    <row r="27" spans="1:29" ht="16" x14ac:dyDescent="0.3">
      <c r="A27" s="25">
        <v>19</v>
      </c>
      <c r="B27" s="26" t="s">
        <v>121</v>
      </c>
      <c r="C27" s="36" t="s">
        <v>70</v>
      </c>
      <c r="D27" s="15">
        <f>'Feb-25'!$G$30</f>
        <v>0</v>
      </c>
      <c r="E27" s="15">
        <f>'Mar-25'!$I$30</f>
        <v>9</v>
      </c>
      <c r="F27" s="21">
        <f>'Apr-25'!$I$30</f>
        <v>3</v>
      </c>
      <c r="G27" s="21">
        <f>'May-25'!$H$30</f>
        <v>0</v>
      </c>
      <c r="H27" s="21">
        <f>'June-25'!$H$30</f>
        <v>0</v>
      </c>
      <c r="I27" s="22">
        <f t="shared" si="0"/>
        <v>12</v>
      </c>
      <c r="J27" s="23"/>
      <c r="K27" s="24">
        <f t="shared" si="1"/>
        <v>23.52941176470588</v>
      </c>
      <c r="M27" s="13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0"/>
      <c r="Y27" s="10"/>
      <c r="Z27" s="10"/>
      <c r="AA27" s="10"/>
      <c r="AB27" s="10"/>
      <c r="AC27" s="10"/>
    </row>
    <row r="28" spans="1:29" ht="16" x14ac:dyDescent="0.3">
      <c r="A28" s="25">
        <v>20</v>
      </c>
      <c r="B28" s="26" t="s">
        <v>122</v>
      </c>
      <c r="C28" s="36" t="s">
        <v>71</v>
      </c>
      <c r="D28" s="15">
        <f>'Feb-25'!$G$31</f>
        <v>0</v>
      </c>
      <c r="E28" s="15">
        <f>'Mar-25'!$I$31</f>
        <v>9</v>
      </c>
      <c r="F28" s="21">
        <f>'Apr-25'!$I$31</f>
        <v>3</v>
      </c>
      <c r="G28" s="21">
        <f>'May-25'!$H$31</f>
        <v>3</v>
      </c>
      <c r="H28" s="21">
        <f>'June-25'!$H$31</f>
        <v>0</v>
      </c>
      <c r="I28" s="22">
        <f t="shared" si="0"/>
        <v>15</v>
      </c>
      <c r="J28" s="23"/>
      <c r="K28" s="24">
        <f t="shared" si="1"/>
        <v>29.411764705882355</v>
      </c>
      <c r="M28" s="13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0"/>
      <c r="Y28" s="10"/>
      <c r="Z28" s="10"/>
      <c r="AA28" s="10"/>
      <c r="AB28" s="10"/>
      <c r="AC28" s="10"/>
    </row>
    <row r="29" spans="1:29" ht="16" x14ac:dyDescent="0.3">
      <c r="A29" s="25">
        <v>21</v>
      </c>
      <c r="B29" s="26" t="s">
        <v>123</v>
      </c>
      <c r="C29" s="36" t="s">
        <v>72</v>
      </c>
      <c r="D29" s="15">
        <f>'Feb-25'!$G$32</f>
        <v>0</v>
      </c>
      <c r="E29" s="15">
        <f>'Mar-25'!$I$32</f>
        <v>9</v>
      </c>
      <c r="F29" s="21">
        <f>'Apr-25'!$I$32</f>
        <v>6</v>
      </c>
      <c r="G29" s="21">
        <f>'May-25'!$H$32</f>
        <v>3</v>
      </c>
      <c r="H29" s="21">
        <f>'June-25'!$H$32</f>
        <v>0</v>
      </c>
      <c r="I29" s="22">
        <f t="shared" si="0"/>
        <v>18</v>
      </c>
      <c r="J29" s="23"/>
      <c r="K29" s="24">
        <f t="shared" si="1"/>
        <v>35.294117647058826</v>
      </c>
      <c r="M29" s="13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0"/>
      <c r="Y29" s="10"/>
      <c r="Z29" s="10"/>
      <c r="AA29" s="10"/>
      <c r="AB29" s="10"/>
      <c r="AC29" s="10"/>
    </row>
    <row r="30" spans="1:29" ht="16" x14ac:dyDescent="0.3">
      <c r="A30" s="25">
        <v>22</v>
      </c>
      <c r="B30" s="26" t="s">
        <v>124</v>
      </c>
      <c r="C30" s="36" t="s">
        <v>73</v>
      </c>
      <c r="D30" s="15">
        <f>'Feb-25'!$G$33</f>
        <v>0</v>
      </c>
      <c r="E30" s="15">
        <f>'Mar-25'!$I$33</f>
        <v>9</v>
      </c>
      <c r="F30" s="21">
        <f>'Apr-25'!$I$33</f>
        <v>6</v>
      </c>
      <c r="G30" s="21">
        <f>'May-25'!$H$33</f>
        <v>3</v>
      </c>
      <c r="H30" s="21">
        <f>'June-25'!$H$33</f>
        <v>0</v>
      </c>
      <c r="I30" s="22">
        <f t="shared" si="0"/>
        <v>18</v>
      </c>
      <c r="J30" s="23"/>
      <c r="K30" s="24">
        <f t="shared" si="1"/>
        <v>35.294117647058826</v>
      </c>
      <c r="M30" s="13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0"/>
      <c r="Y30" s="10"/>
      <c r="Z30" s="10"/>
      <c r="AA30" s="10"/>
      <c r="AB30" s="10"/>
      <c r="AC30" s="10"/>
    </row>
    <row r="31" spans="1:29" ht="16" x14ac:dyDescent="0.3">
      <c r="A31" s="25">
        <v>23</v>
      </c>
      <c r="B31" s="26" t="s">
        <v>125</v>
      </c>
      <c r="C31" s="36" t="s">
        <v>74</v>
      </c>
      <c r="D31" s="15">
        <f>'Feb-25'!$G$34</f>
        <v>0</v>
      </c>
      <c r="E31" s="15">
        <f>'Mar-25'!$I$34</f>
        <v>9</v>
      </c>
      <c r="F31" s="21">
        <f>'Apr-25'!$I$34</f>
        <v>6</v>
      </c>
      <c r="G31" s="21">
        <f>'May-25'!$H$34</f>
        <v>3</v>
      </c>
      <c r="H31" s="21">
        <f>'June-25'!$H$34</f>
        <v>0</v>
      </c>
      <c r="I31" s="22">
        <f t="shared" si="0"/>
        <v>18</v>
      </c>
      <c r="J31" s="23"/>
      <c r="K31" s="24">
        <f t="shared" si="1"/>
        <v>35.294117647058826</v>
      </c>
      <c r="M31" s="13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0"/>
      <c r="Y31" s="10"/>
      <c r="Z31" s="10"/>
      <c r="AA31" s="10"/>
      <c r="AB31" s="10"/>
      <c r="AC31" s="10"/>
    </row>
    <row r="32" spans="1:29" ht="16" x14ac:dyDescent="0.3">
      <c r="A32" s="25">
        <v>24</v>
      </c>
      <c r="B32" s="26" t="s">
        <v>126</v>
      </c>
      <c r="C32" s="36" t="s">
        <v>75</v>
      </c>
      <c r="D32" s="15">
        <f>'Feb-25'!$G$35</f>
        <v>0</v>
      </c>
      <c r="E32" s="15">
        <f>'Mar-25'!$I$35</f>
        <v>9</v>
      </c>
      <c r="F32" s="21">
        <f>'Apr-25'!$I$35</f>
        <v>6</v>
      </c>
      <c r="G32" s="21">
        <f>'May-25'!$H$35</f>
        <v>3</v>
      </c>
      <c r="H32" s="21">
        <f>'June-25'!$H$35</f>
        <v>0</v>
      </c>
      <c r="I32" s="22">
        <f t="shared" si="0"/>
        <v>18</v>
      </c>
      <c r="J32" s="23"/>
      <c r="K32" s="24">
        <f t="shared" si="1"/>
        <v>35.294117647058826</v>
      </c>
      <c r="M32" s="13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0"/>
      <c r="Y32" s="10"/>
      <c r="Z32" s="10"/>
      <c r="AA32" s="10"/>
      <c r="AB32" s="10"/>
      <c r="AC32" s="10"/>
    </row>
    <row r="33" spans="1:29" ht="16" x14ac:dyDescent="0.3">
      <c r="A33" s="25">
        <v>25</v>
      </c>
      <c r="B33" s="26" t="s">
        <v>105</v>
      </c>
      <c r="C33" s="36" t="s">
        <v>76</v>
      </c>
      <c r="D33" s="15">
        <f>'Feb-25'!$G$36</f>
        <v>0</v>
      </c>
      <c r="E33" s="15">
        <f>'Mar-25'!$I$36</f>
        <v>9</v>
      </c>
      <c r="F33" s="21">
        <f>'Apr-25'!$I$36</f>
        <v>6</v>
      </c>
      <c r="G33" s="21">
        <f>'May-25'!$H$36</f>
        <v>3</v>
      </c>
      <c r="H33" s="21">
        <f>'June-25'!$H$36</f>
        <v>0</v>
      </c>
      <c r="I33" s="22">
        <f t="shared" si="0"/>
        <v>18</v>
      </c>
      <c r="J33" s="23"/>
      <c r="K33" s="24">
        <f t="shared" si="1"/>
        <v>35.294117647058826</v>
      </c>
      <c r="M33" s="13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0"/>
      <c r="Y33" s="10"/>
      <c r="Z33" s="10"/>
      <c r="AA33" s="10"/>
      <c r="AB33" s="10"/>
      <c r="AC33" s="10"/>
    </row>
    <row r="34" spans="1:29" ht="16" x14ac:dyDescent="0.3">
      <c r="A34" s="25">
        <v>26</v>
      </c>
      <c r="B34" s="26" t="s">
        <v>127</v>
      </c>
      <c r="C34" s="36" t="s">
        <v>77</v>
      </c>
      <c r="D34" s="15">
        <f>'Feb-25'!$G$37</f>
        <v>0</v>
      </c>
      <c r="E34" s="15">
        <f>'Mar-25'!$I$37</f>
        <v>9</v>
      </c>
      <c r="F34" s="21">
        <f>'Apr-25'!$I$37</f>
        <v>6</v>
      </c>
      <c r="G34" s="21">
        <f>'May-25'!$H$37</f>
        <v>3</v>
      </c>
      <c r="H34" s="21">
        <f>'June-25'!$H$37</f>
        <v>0</v>
      </c>
      <c r="I34" s="22">
        <f t="shared" si="0"/>
        <v>18</v>
      </c>
      <c r="J34" s="23"/>
      <c r="K34" s="24">
        <f t="shared" si="1"/>
        <v>35.294117647058826</v>
      </c>
      <c r="M34" s="13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0"/>
      <c r="Y34" s="10"/>
      <c r="Z34" s="10"/>
      <c r="AA34" s="10"/>
      <c r="AB34" s="10"/>
      <c r="AC34" s="10"/>
    </row>
    <row r="35" spans="1:29" ht="16" x14ac:dyDescent="0.3">
      <c r="A35" s="25">
        <v>27</v>
      </c>
      <c r="B35" s="26" t="s">
        <v>128</v>
      </c>
      <c r="C35" s="36" t="s">
        <v>78</v>
      </c>
      <c r="D35" s="15">
        <f>'Feb-25'!$G$38</f>
        <v>0</v>
      </c>
      <c r="E35" s="15">
        <f>'Mar-25'!$I$38</f>
        <v>9</v>
      </c>
      <c r="F35" s="21">
        <f>'Apr-25'!$I$38</f>
        <v>3</v>
      </c>
      <c r="G35" s="21">
        <f>'May-25'!$H$38</f>
        <v>3</v>
      </c>
      <c r="H35" s="21">
        <f>'June-25'!$H$38</f>
        <v>0</v>
      </c>
      <c r="I35" s="22">
        <f t="shared" si="0"/>
        <v>15</v>
      </c>
      <c r="J35" s="23"/>
      <c r="K35" s="24">
        <f t="shared" si="1"/>
        <v>29.411764705882355</v>
      </c>
      <c r="M35" s="13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0"/>
      <c r="Y35" s="10"/>
      <c r="Z35" s="10"/>
      <c r="AA35" s="10"/>
      <c r="AB35" s="10"/>
      <c r="AC35" s="10"/>
    </row>
    <row r="36" spans="1:29" ht="16" x14ac:dyDescent="0.3">
      <c r="A36" s="25">
        <v>28</v>
      </c>
      <c r="B36" s="26" t="s">
        <v>129</v>
      </c>
      <c r="C36" s="36" t="s">
        <v>79</v>
      </c>
      <c r="D36" s="15">
        <f>'Feb-25'!$G$39</f>
        <v>0</v>
      </c>
      <c r="E36" s="15">
        <f>'Mar-25'!$I$39</f>
        <v>6</v>
      </c>
      <c r="F36" s="21">
        <f>'Apr-25'!$I$39</f>
        <v>3</v>
      </c>
      <c r="G36" s="21">
        <f>'May-25'!$H$39</f>
        <v>3</v>
      </c>
      <c r="H36" s="21">
        <f>'June-25'!$H$39</f>
        <v>0</v>
      </c>
      <c r="I36" s="22">
        <f t="shared" si="0"/>
        <v>12</v>
      </c>
      <c r="J36" s="23"/>
      <c r="K36" s="24">
        <f t="shared" si="1"/>
        <v>23.52941176470588</v>
      </c>
      <c r="M36" s="13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0"/>
      <c r="Y36" s="10"/>
      <c r="Z36" s="10"/>
      <c r="AA36" s="10"/>
      <c r="AB36" s="10"/>
      <c r="AC36" s="10"/>
    </row>
    <row r="37" spans="1:29" ht="16" x14ac:dyDescent="0.3">
      <c r="A37" s="25">
        <v>29</v>
      </c>
      <c r="B37" s="26" t="s">
        <v>130</v>
      </c>
      <c r="C37" s="36" t="s">
        <v>80</v>
      </c>
      <c r="D37" s="15">
        <f>'Feb-25'!$G$40</f>
        <v>0</v>
      </c>
      <c r="E37" s="15">
        <f>'Mar-25'!$I$40</f>
        <v>9</v>
      </c>
      <c r="F37" s="21">
        <f>'Apr-25'!$I$40</f>
        <v>3</v>
      </c>
      <c r="G37" s="21">
        <f>'May-25'!$H$40</f>
        <v>0</v>
      </c>
      <c r="H37" s="21">
        <f>'June-25'!$H$40</f>
        <v>0</v>
      </c>
      <c r="I37" s="22">
        <f t="shared" si="0"/>
        <v>12</v>
      </c>
      <c r="J37" s="23"/>
      <c r="K37" s="24">
        <f t="shared" si="1"/>
        <v>23.52941176470588</v>
      </c>
      <c r="M37" s="13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0"/>
      <c r="Y37" s="10"/>
      <c r="Z37" s="10"/>
      <c r="AA37" s="10"/>
      <c r="AB37" s="10"/>
      <c r="AC37" s="10"/>
    </row>
    <row r="38" spans="1:29" ht="16" x14ac:dyDescent="0.3">
      <c r="A38" s="25">
        <v>30</v>
      </c>
      <c r="B38" s="26" t="s">
        <v>131</v>
      </c>
      <c r="C38" s="36" t="s">
        <v>81</v>
      </c>
      <c r="D38" s="15">
        <f>'Feb-25'!$G$41</f>
        <v>0</v>
      </c>
      <c r="E38" s="15">
        <f>'Mar-25'!$I$41</f>
        <v>9</v>
      </c>
      <c r="F38" s="21">
        <f>'Apr-25'!$I$41</f>
        <v>3</v>
      </c>
      <c r="G38" s="21">
        <f>'May-25'!$H$41</f>
        <v>3</v>
      </c>
      <c r="H38" s="21">
        <f>'June-25'!$H$41</f>
        <v>0</v>
      </c>
      <c r="I38" s="22">
        <f t="shared" si="0"/>
        <v>15</v>
      </c>
      <c r="J38" s="23"/>
      <c r="K38" s="24">
        <f t="shared" si="1"/>
        <v>29.411764705882355</v>
      </c>
      <c r="M38" s="13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0"/>
      <c r="Y38" s="10"/>
      <c r="Z38" s="10"/>
      <c r="AA38" s="10"/>
      <c r="AB38" s="10"/>
      <c r="AC38" s="10"/>
    </row>
    <row r="39" spans="1:29" ht="16" x14ac:dyDescent="0.3">
      <c r="A39" s="25">
        <v>31</v>
      </c>
      <c r="B39" s="26" t="s">
        <v>132</v>
      </c>
      <c r="C39" s="36" t="s">
        <v>82</v>
      </c>
      <c r="D39" s="15">
        <f>'Feb-25'!$G$42</f>
        <v>0</v>
      </c>
      <c r="E39" s="15">
        <f>'Mar-25'!$I$42</f>
        <v>9</v>
      </c>
      <c r="F39" s="21">
        <f>'Apr-25'!$I$42</f>
        <v>6</v>
      </c>
      <c r="G39" s="21">
        <f>'May-25'!$H$42</f>
        <v>3</v>
      </c>
      <c r="H39" s="21">
        <f>'June-25'!$H$42</f>
        <v>0</v>
      </c>
      <c r="I39" s="22">
        <f t="shared" si="0"/>
        <v>18</v>
      </c>
      <c r="J39" s="23"/>
      <c r="K39" s="24">
        <f t="shared" si="1"/>
        <v>35.294117647058826</v>
      </c>
      <c r="M39" s="13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0"/>
      <c r="Y39" s="10"/>
      <c r="Z39" s="10"/>
      <c r="AA39" s="10"/>
      <c r="AB39" s="10"/>
      <c r="AC39" s="10"/>
    </row>
    <row r="40" spans="1:29" ht="16" x14ac:dyDescent="0.3">
      <c r="A40" s="25">
        <v>32</v>
      </c>
      <c r="B40" s="26" t="s">
        <v>133</v>
      </c>
      <c r="C40" s="36" t="s">
        <v>83</v>
      </c>
      <c r="D40" s="15">
        <f>'Feb-25'!$G$43</f>
        <v>0</v>
      </c>
      <c r="E40" s="15">
        <f>'Mar-25'!$I$43</f>
        <v>9</v>
      </c>
      <c r="F40" s="21">
        <f>'Apr-25'!$I$43</f>
        <v>6</v>
      </c>
      <c r="G40" s="21">
        <f>'May-25'!$H$43</f>
        <v>0</v>
      </c>
      <c r="H40" s="21">
        <f>'June-25'!$H$43</f>
        <v>0</v>
      </c>
      <c r="I40" s="22">
        <f t="shared" si="0"/>
        <v>15</v>
      </c>
      <c r="J40" s="23"/>
      <c r="K40" s="24">
        <f t="shared" si="1"/>
        <v>29.411764705882355</v>
      </c>
      <c r="M40" s="13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0"/>
      <c r="Y40" s="10"/>
      <c r="Z40" s="10"/>
      <c r="AA40" s="10"/>
      <c r="AB40" s="10"/>
      <c r="AC40" s="10"/>
    </row>
    <row r="41" spans="1:29" ht="16" x14ac:dyDescent="0.3">
      <c r="A41" s="25">
        <v>33</v>
      </c>
      <c r="B41" s="26" t="s">
        <v>134</v>
      </c>
      <c r="C41" s="36" t="s">
        <v>84</v>
      </c>
      <c r="D41" s="15">
        <f>'Feb-25'!$G$44</f>
        <v>0</v>
      </c>
      <c r="E41" s="15">
        <f>'Mar-25'!$I$44</f>
        <v>6</v>
      </c>
      <c r="F41" s="21">
        <f>'Apr-25'!$I$44</f>
        <v>3</v>
      </c>
      <c r="G41" s="21">
        <f>'May-25'!$H$44</f>
        <v>3</v>
      </c>
      <c r="H41" s="21">
        <f>'June-25'!$H$44</f>
        <v>0</v>
      </c>
      <c r="I41" s="22">
        <f t="shared" si="0"/>
        <v>12</v>
      </c>
      <c r="J41" s="23"/>
      <c r="K41" s="24">
        <f t="shared" si="1"/>
        <v>23.52941176470588</v>
      </c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</row>
    <row r="42" spans="1:29" ht="16" x14ac:dyDescent="0.3">
      <c r="A42" s="25">
        <v>34</v>
      </c>
      <c r="B42" s="26" t="s">
        <v>135</v>
      </c>
      <c r="C42" s="36" t="s">
        <v>85</v>
      </c>
      <c r="D42" s="15">
        <f>'Feb-25'!$G$45</f>
        <v>0</v>
      </c>
      <c r="E42" s="15">
        <f>'Mar-25'!$I$45</f>
        <v>6</v>
      </c>
      <c r="F42" s="21">
        <f>'Apr-25'!$I$45</f>
        <v>6</v>
      </c>
      <c r="G42" s="21">
        <f>'May-25'!$H$45</f>
        <v>0</v>
      </c>
      <c r="H42" s="21">
        <f>'June-25'!$H$45</f>
        <v>0</v>
      </c>
      <c r="I42" s="22">
        <f t="shared" si="0"/>
        <v>12</v>
      </c>
      <c r="J42" s="23"/>
      <c r="K42" s="24">
        <f t="shared" si="1"/>
        <v>23.52941176470588</v>
      </c>
      <c r="M42" s="10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</row>
    <row r="43" spans="1:29" ht="16" x14ac:dyDescent="0.3">
      <c r="A43" s="25">
        <v>35</v>
      </c>
      <c r="B43" s="26" t="s">
        <v>136</v>
      </c>
      <c r="C43" s="36" t="s">
        <v>86</v>
      </c>
      <c r="D43" s="15">
        <f>'Feb-25'!$G$46</f>
        <v>0</v>
      </c>
      <c r="E43" s="15">
        <f>'Mar-25'!$I$46</f>
        <v>6</v>
      </c>
      <c r="F43" s="21">
        <f>'Apr-25'!$I$46</f>
        <v>6</v>
      </c>
      <c r="G43" s="21">
        <f>'May-25'!$H$46</f>
        <v>0</v>
      </c>
      <c r="H43" s="21">
        <f>'June-25'!$H$46</f>
        <v>0</v>
      </c>
      <c r="I43" s="22">
        <f t="shared" si="0"/>
        <v>12</v>
      </c>
      <c r="J43" s="23"/>
      <c r="K43" s="24">
        <f t="shared" si="1"/>
        <v>23.52941176470588</v>
      </c>
      <c r="M43" s="10"/>
      <c r="N43" s="12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</row>
    <row r="44" spans="1:29" ht="12.75" customHeight="1" x14ac:dyDescent="0.3">
      <c r="A44" s="25">
        <v>36</v>
      </c>
      <c r="B44" s="26" t="s">
        <v>137</v>
      </c>
      <c r="C44" s="36" t="s">
        <v>87</v>
      </c>
      <c r="D44" s="15">
        <f>'Feb-25'!$G$47</f>
        <v>0</v>
      </c>
      <c r="E44" s="15">
        <f>'Mar-25'!$I$47</f>
        <v>9</v>
      </c>
      <c r="F44" s="21">
        <f>'Apr-25'!$I$47</f>
        <v>6</v>
      </c>
      <c r="G44" s="21">
        <f>'May-25'!$H$47</f>
        <v>3</v>
      </c>
      <c r="H44" s="21">
        <f>'June-25'!$H$47</f>
        <v>0</v>
      </c>
      <c r="I44" s="22">
        <f t="shared" si="0"/>
        <v>18</v>
      </c>
      <c r="J44" s="23"/>
      <c r="K44" s="24">
        <f t="shared" si="1"/>
        <v>35.294117647058826</v>
      </c>
      <c r="M44" s="10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4"/>
      <c r="Z44" s="14"/>
      <c r="AA44" s="11"/>
      <c r="AB44" s="11"/>
      <c r="AC44" s="11"/>
    </row>
    <row r="45" spans="1:29" ht="12.75" customHeight="1" x14ac:dyDescent="0.3">
      <c r="A45" s="25">
        <v>37</v>
      </c>
      <c r="B45" s="26" t="s">
        <v>138</v>
      </c>
      <c r="C45" s="36" t="s">
        <v>88</v>
      </c>
      <c r="D45" s="15">
        <f>'Feb-25'!$G$48</f>
        <v>0</v>
      </c>
      <c r="E45" s="15">
        <f>'Mar-25'!$I$48</f>
        <v>9</v>
      </c>
      <c r="F45" s="21">
        <f>'Apr-25'!$I$48</f>
        <v>6</v>
      </c>
      <c r="G45" s="21">
        <f>'May-25'!$H$48</f>
        <v>3</v>
      </c>
      <c r="H45" s="21">
        <f>'June-25'!$H$48</f>
        <v>0</v>
      </c>
      <c r="I45" s="22">
        <f t="shared" si="0"/>
        <v>18</v>
      </c>
      <c r="J45" s="23"/>
      <c r="K45" s="24">
        <f t="shared" si="1"/>
        <v>35.294117647058826</v>
      </c>
      <c r="M45" s="10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4"/>
      <c r="Z45" s="14"/>
      <c r="AA45" s="11"/>
      <c r="AB45" s="11"/>
      <c r="AC45" s="11"/>
    </row>
    <row r="46" spans="1:29" ht="16" x14ac:dyDescent="0.3">
      <c r="A46" s="25">
        <v>38</v>
      </c>
      <c r="B46" s="26" t="s">
        <v>139</v>
      </c>
      <c r="C46" s="36" t="s">
        <v>89</v>
      </c>
      <c r="D46" s="15">
        <f>'Feb-25'!$G$49</f>
        <v>0</v>
      </c>
      <c r="E46" s="15">
        <f>'Mar-25'!$I$49</f>
        <v>6</v>
      </c>
      <c r="F46" s="21">
        <f>'Apr-25'!$I$49</f>
        <v>6</v>
      </c>
      <c r="G46" s="21">
        <f>'May-25'!$H$49</f>
        <v>3</v>
      </c>
      <c r="H46" s="21">
        <f>'June-25'!$H$49</f>
        <v>0</v>
      </c>
      <c r="I46" s="22">
        <f t="shared" si="0"/>
        <v>15</v>
      </c>
      <c r="J46" s="23"/>
      <c r="K46" s="24">
        <f t="shared" si="1"/>
        <v>29.411764705882355</v>
      </c>
      <c r="AA46" s="11"/>
      <c r="AB46" s="11"/>
      <c r="AC46" s="11"/>
    </row>
    <row r="47" spans="1:29" ht="16" x14ac:dyDescent="0.3">
      <c r="A47" s="25">
        <v>39</v>
      </c>
      <c r="B47" s="26" t="s">
        <v>140</v>
      </c>
      <c r="C47" s="36" t="s">
        <v>90</v>
      </c>
      <c r="D47" s="15">
        <f>'Feb-25'!$G$50</f>
        <v>0</v>
      </c>
      <c r="E47" s="15">
        <f>'Mar-25'!$I$50</f>
        <v>6</v>
      </c>
      <c r="F47" s="21">
        <f>'Apr-25'!$I$50</f>
        <v>6</v>
      </c>
      <c r="G47" s="21">
        <f>'May-25'!$H$50</f>
        <v>3</v>
      </c>
      <c r="H47" s="21">
        <f>'June-25'!$H$50</f>
        <v>0</v>
      </c>
      <c r="I47" s="22">
        <f t="shared" si="0"/>
        <v>15</v>
      </c>
      <c r="J47" s="23"/>
      <c r="K47" s="24">
        <f t="shared" si="1"/>
        <v>29.411764705882355</v>
      </c>
      <c r="AA47" s="11"/>
      <c r="AB47" s="11"/>
      <c r="AC47" s="11"/>
    </row>
    <row r="48" spans="1:29" ht="16" x14ac:dyDescent="0.3">
      <c r="A48" s="25">
        <v>40</v>
      </c>
      <c r="B48" s="26" t="s">
        <v>141</v>
      </c>
      <c r="C48" s="36" t="s">
        <v>91</v>
      </c>
      <c r="D48" s="15">
        <f>'Feb-25'!$G$51</f>
        <v>0</v>
      </c>
      <c r="E48" s="15">
        <f>'Mar-25'!$I$51</f>
        <v>9</v>
      </c>
      <c r="F48" s="21">
        <f>'Apr-25'!$I$51</f>
        <v>6</v>
      </c>
      <c r="G48" s="21">
        <f>'May-25'!$H$51</f>
        <v>3</v>
      </c>
      <c r="H48" s="21">
        <f>'June-25'!$H$51</f>
        <v>0</v>
      </c>
      <c r="I48" s="22">
        <f t="shared" si="0"/>
        <v>18</v>
      </c>
      <c r="J48" s="23"/>
      <c r="K48" s="24">
        <f t="shared" si="1"/>
        <v>35.294117647058826</v>
      </c>
    </row>
    <row r="49" spans="1:11" ht="16" x14ac:dyDescent="0.3">
      <c r="A49" s="25">
        <v>41</v>
      </c>
      <c r="B49" s="26" t="s">
        <v>142</v>
      </c>
      <c r="C49" s="36" t="s">
        <v>92</v>
      </c>
      <c r="D49" s="15">
        <f>'Feb-25'!$G$52</f>
        <v>0</v>
      </c>
      <c r="E49" s="15">
        <f>'Mar-25'!$I$52</f>
        <v>6</v>
      </c>
      <c r="F49" s="21">
        <f>'Apr-25'!$I$52</f>
        <v>6</v>
      </c>
      <c r="G49" s="21">
        <f>'May-25'!$H$52</f>
        <v>3</v>
      </c>
      <c r="H49" s="21">
        <f>'June-25'!$H$52</f>
        <v>0</v>
      </c>
      <c r="I49" s="22">
        <f t="shared" si="0"/>
        <v>15</v>
      </c>
      <c r="J49" s="23"/>
      <c r="K49" s="24">
        <f t="shared" si="1"/>
        <v>29.411764705882355</v>
      </c>
    </row>
    <row r="50" spans="1:11" ht="16" x14ac:dyDescent="0.3">
      <c r="A50" s="25">
        <v>42</v>
      </c>
      <c r="B50" s="26" t="s">
        <v>143</v>
      </c>
      <c r="C50" s="36" t="s">
        <v>93</v>
      </c>
      <c r="D50" s="15">
        <f>'Feb-25'!$G$53</f>
        <v>0</v>
      </c>
      <c r="E50" s="15">
        <f>'Mar-25'!$I$53</f>
        <v>6</v>
      </c>
      <c r="F50" s="21">
        <f>'Apr-25'!$I$53</f>
        <v>6</v>
      </c>
      <c r="G50" s="21">
        <f>'May-25'!$H$53</f>
        <v>3</v>
      </c>
      <c r="H50" s="21">
        <f>'June-25'!$H$53</f>
        <v>0</v>
      </c>
      <c r="I50" s="22">
        <f t="shared" si="0"/>
        <v>15</v>
      </c>
      <c r="J50" s="23"/>
      <c r="K50" s="24">
        <f t="shared" si="1"/>
        <v>29.411764705882355</v>
      </c>
    </row>
    <row r="51" spans="1:11" ht="16" x14ac:dyDescent="0.3">
      <c r="A51" s="25">
        <v>43</v>
      </c>
      <c r="B51" s="26" t="s">
        <v>144</v>
      </c>
      <c r="C51" s="36" t="s">
        <v>94</v>
      </c>
      <c r="D51" s="15">
        <f>'Feb-25'!$G$54</f>
        <v>0</v>
      </c>
      <c r="E51" s="15">
        <f>'Mar-25'!$I$54</f>
        <v>6</v>
      </c>
      <c r="F51" s="21">
        <f>'Apr-25'!$I$54</f>
        <v>6</v>
      </c>
      <c r="G51" s="21">
        <f>'May-25'!$H$54</f>
        <v>3</v>
      </c>
      <c r="H51" s="21">
        <f>'June-25'!$H$54</f>
        <v>0</v>
      </c>
      <c r="I51" s="22">
        <f t="shared" si="0"/>
        <v>15</v>
      </c>
      <c r="J51" s="23"/>
      <c r="K51" s="24">
        <f t="shared" si="1"/>
        <v>29.411764705882355</v>
      </c>
    </row>
    <row r="52" spans="1:11" ht="16" x14ac:dyDescent="0.3">
      <c r="A52" s="25">
        <v>44</v>
      </c>
      <c r="B52" s="26" t="s">
        <v>145</v>
      </c>
      <c r="C52" s="36" t="s">
        <v>95</v>
      </c>
      <c r="D52" s="15">
        <f>'Feb-25'!$G$55</f>
        <v>0</v>
      </c>
      <c r="E52" s="15">
        <f>'Mar-25'!$I$55</f>
        <v>9</v>
      </c>
      <c r="F52" s="21">
        <f>'Apr-25'!$I$55</f>
        <v>6</v>
      </c>
      <c r="G52" s="21">
        <f>'May-25'!$H$55</f>
        <v>3</v>
      </c>
      <c r="H52" s="21">
        <f>'June-25'!$H$55</f>
        <v>0</v>
      </c>
      <c r="I52" s="22">
        <f t="shared" si="0"/>
        <v>18</v>
      </c>
      <c r="J52" s="23"/>
      <c r="K52" s="24">
        <f t="shared" si="1"/>
        <v>35.294117647058826</v>
      </c>
    </row>
    <row r="53" spans="1:11" ht="16" x14ac:dyDescent="0.3">
      <c r="A53" s="25">
        <v>45</v>
      </c>
      <c r="B53" s="26" t="s">
        <v>146</v>
      </c>
      <c r="C53" s="36" t="s">
        <v>96</v>
      </c>
      <c r="D53" s="15">
        <f>'Feb-25'!$G$56</f>
        <v>0</v>
      </c>
      <c r="E53" s="15">
        <f>'Mar-25'!$I$56</f>
        <v>9</v>
      </c>
      <c r="F53" s="21">
        <f>'Apr-25'!$I$56</f>
        <v>6</v>
      </c>
      <c r="G53" s="21">
        <f>'May-25'!$H$56</f>
        <v>3</v>
      </c>
      <c r="H53" s="21">
        <f>'June-25'!$H$56</f>
        <v>0</v>
      </c>
      <c r="I53" s="22">
        <f t="shared" si="0"/>
        <v>18</v>
      </c>
      <c r="J53" s="23"/>
      <c r="K53" s="24">
        <f t="shared" si="1"/>
        <v>35.294117647058826</v>
      </c>
    </row>
    <row r="54" spans="1:11" ht="16" x14ac:dyDescent="0.3">
      <c r="A54" s="25">
        <v>46</v>
      </c>
      <c r="B54" s="26" t="s">
        <v>147</v>
      </c>
      <c r="C54" s="36" t="s">
        <v>97</v>
      </c>
      <c r="D54" s="15">
        <f>'Feb-25'!$G$57</f>
        <v>0</v>
      </c>
      <c r="E54" s="15">
        <f>'Mar-25'!$I$57</f>
        <v>9</v>
      </c>
      <c r="F54" s="21">
        <f>'Apr-25'!$I$57</f>
        <v>3</v>
      </c>
      <c r="G54" s="21">
        <f>'May-25'!$H$57</f>
        <v>3</v>
      </c>
      <c r="H54" s="21">
        <f>'June-25'!$H$57</f>
        <v>0</v>
      </c>
      <c r="I54" s="22">
        <f t="shared" si="0"/>
        <v>15</v>
      </c>
      <c r="J54" s="23"/>
      <c r="K54" s="24">
        <f t="shared" si="1"/>
        <v>29.411764705882355</v>
      </c>
    </row>
    <row r="55" spans="1:11" ht="16" x14ac:dyDescent="0.3">
      <c r="A55" s="25">
        <v>47</v>
      </c>
      <c r="B55" s="26" t="s">
        <v>148</v>
      </c>
      <c r="C55" s="36" t="s">
        <v>98</v>
      </c>
      <c r="D55" s="15">
        <f>'Feb-25'!$G$58</f>
        <v>0</v>
      </c>
      <c r="E55" s="15">
        <f>'Mar-25'!$I$58</f>
        <v>9</v>
      </c>
      <c r="F55" s="21">
        <f>'Apr-25'!$I$58</f>
        <v>6</v>
      </c>
      <c r="G55" s="21">
        <f>'May-25'!$H$58</f>
        <v>3</v>
      </c>
      <c r="H55" s="21">
        <f>'June-25'!$H$58</f>
        <v>0</v>
      </c>
      <c r="I55" s="22">
        <f t="shared" si="0"/>
        <v>18</v>
      </c>
      <c r="J55" s="23"/>
      <c r="K55" s="24">
        <f t="shared" si="1"/>
        <v>35.294117647058826</v>
      </c>
    </row>
    <row r="56" spans="1:11" ht="16" x14ac:dyDescent="0.3">
      <c r="A56" s="25">
        <v>48</v>
      </c>
      <c r="B56" s="26" t="s">
        <v>149</v>
      </c>
      <c r="C56" s="36" t="s">
        <v>99</v>
      </c>
      <c r="D56" s="15">
        <f>'Feb-25'!$G$59</f>
        <v>0</v>
      </c>
      <c r="E56" s="15">
        <f>'Mar-25'!$I$59</f>
        <v>9</v>
      </c>
      <c r="F56" s="21">
        <f>'Apr-25'!$I$59</f>
        <v>6</v>
      </c>
      <c r="G56" s="21">
        <f>'May-25'!$H$59</f>
        <v>3</v>
      </c>
      <c r="H56" s="21">
        <f>'June-25'!$H$59</f>
        <v>0</v>
      </c>
      <c r="I56" s="22">
        <f t="shared" si="0"/>
        <v>18</v>
      </c>
      <c r="J56" s="23"/>
      <c r="K56" s="24">
        <f t="shared" si="1"/>
        <v>35.294117647058826</v>
      </c>
    </row>
    <row r="57" spans="1:11" ht="16" x14ac:dyDescent="0.3">
      <c r="A57" s="25">
        <v>49</v>
      </c>
      <c r="B57" s="28" t="s">
        <v>150</v>
      </c>
      <c r="C57" s="36" t="s">
        <v>100</v>
      </c>
      <c r="D57" s="15">
        <f>'Feb-25'!$G$60</f>
        <v>0</v>
      </c>
      <c r="E57" s="15">
        <f>'Mar-25'!$I$60</f>
        <v>3</v>
      </c>
      <c r="F57" s="21">
        <f>'Apr-25'!$I$60</f>
        <v>6</v>
      </c>
      <c r="G57" s="21">
        <f>'May-25'!$H$60</f>
        <v>3</v>
      </c>
      <c r="H57" s="21">
        <f>'June-25'!$H$60</f>
        <v>0</v>
      </c>
      <c r="I57" s="22">
        <f t="shared" si="0"/>
        <v>12</v>
      </c>
      <c r="J57" s="23"/>
      <c r="K57" s="24">
        <f t="shared" si="1"/>
        <v>23.52941176470588</v>
      </c>
    </row>
    <row r="58" spans="1:11" ht="16" x14ac:dyDescent="0.3">
      <c r="A58" s="25">
        <v>50</v>
      </c>
      <c r="B58" s="29" t="s">
        <v>151</v>
      </c>
      <c r="C58" s="36" t="s">
        <v>101</v>
      </c>
      <c r="D58" s="15">
        <f>'Feb-25'!$G$61</f>
        <v>0</v>
      </c>
      <c r="E58" s="15">
        <f>'Mar-25'!$I$61</f>
        <v>9</v>
      </c>
      <c r="F58" s="21">
        <f>'Apr-25'!$I$61</f>
        <v>6</v>
      </c>
      <c r="G58" s="21">
        <f>'May-25'!$H$61</f>
        <v>3</v>
      </c>
      <c r="H58" s="21">
        <f>'June-25'!$H$61</f>
        <v>0</v>
      </c>
      <c r="I58" s="22">
        <f t="shared" si="0"/>
        <v>18</v>
      </c>
      <c r="J58" s="23"/>
      <c r="K58" s="24">
        <f t="shared" si="1"/>
        <v>35.294117647058826</v>
      </c>
    </row>
    <row r="59" spans="1:11" ht="16" x14ac:dyDescent="0.3">
      <c r="A59" s="25">
        <v>51</v>
      </c>
      <c r="B59" s="26" t="s">
        <v>152</v>
      </c>
      <c r="C59" s="36" t="s">
        <v>102</v>
      </c>
      <c r="D59" s="15">
        <f>'Feb-25'!$G$62</f>
        <v>0</v>
      </c>
      <c r="E59" s="15">
        <f>'Mar-25'!$I$62</f>
        <v>6</v>
      </c>
      <c r="F59" s="21">
        <f>'Apr-25'!$I$62</f>
        <v>6</v>
      </c>
      <c r="G59" s="21">
        <f>'May-25'!$H$62</f>
        <v>3</v>
      </c>
      <c r="H59" s="21">
        <f>'June-25'!$H$62</f>
        <v>0</v>
      </c>
      <c r="I59" s="22">
        <f t="shared" si="0"/>
        <v>15</v>
      </c>
      <c r="J59" s="23"/>
      <c r="K59" s="24">
        <f t="shared" si="1"/>
        <v>29.411764705882355</v>
      </c>
    </row>
    <row r="60" spans="1:11" ht="16" x14ac:dyDescent="0.3">
      <c r="A60" s="25">
        <v>52</v>
      </c>
      <c r="B60" s="58"/>
      <c r="C60" s="21"/>
      <c r="D60" s="15">
        <f>'Feb-25'!$G$63</f>
        <v>0</v>
      </c>
      <c r="E60" s="15">
        <f>'Mar-25'!$I$63</f>
        <v>0</v>
      </c>
      <c r="F60" s="21">
        <f>'Apr-25'!$I$63</f>
        <v>0</v>
      </c>
      <c r="G60" s="21">
        <f>'May-25'!$H$63</f>
        <v>0</v>
      </c>
      <c r="H60" s="21">
        <f>'June-25'!$H$63</f>
        <v>0</v>
      </c>
      <c r="I60" s="22">
        <f t="shared" si="0"/>
        <v>0</v>
      </c>
      <c r="J60" s="23"/>
      <c r="K60" s="24">
        <f t="shared" si="1"/>
        <v>0</v>
      </c>
    </row>
    <row r="61" spans="1:11" ht="16" x14ac:dyDescent="0.3">
      <c r="A61" s="25">
        <v>53</v>
      </c>
      <c r="B61" s="58"/>
      <c r="C61" s="21"/>
      <c r="D61" s="15">
        <f>'Feb-25'!$G$64</f>
        <v>0</v>
      </c>
      <c r="E61" s="15">
        <f>'Mar-25'!$I$64</f>
        <v>0</v>
      </c>
      <c r="F61" s="21">
        <f>'Apr-25'!$I$64</f>
        <v>0</v>
      </c>
      <c r="G61" s="21">
        <f>'May-25'!$H$64</f>
        <v>0</v>
      </c>
      <c r="H61" s="21">
        <f>'June-25'!$H$64</f>
        <v>0</v>
      </c>
      <c r="I61" s="22">
        <f t="shared" si="0"/>
        <v>0</v>
      </c>
      <c r="J61" s="23"/>
      <c r="K61" s="24">
        <f t="shared" si="1"/>
        <v>0</v>
      </c>
    </row>
    <row r="62" spans="1:11" ht="16" x14ac:dyDescent="0.3">
      <c r="A62" s="25">
        <v>54</v>
      </c>
      <c r="B62" s="58"/>
      <c r="C62" s="21"/>
      <c r="D62" s="15">
        <f>'Feb-25'!$G$65</f>
        <v>0</v>
      </c>
      <c r="E62" s="15">
        <f>'Mar-25'!$I$65</f>
        <v>0</v>
      </c>
      <c r="F62" s="21">
        <f>'Apr-25'!$I$65</f>
        <v>0</v>
      </c>
      <c r="G62" s="21">
        <f>'May-25'!$H$65</f>
        <v>0</v>
      </c>
      <c r="H62" s="21">
        <f>'June-25'!$H$65</f>
        <v>0</v>
      </c>
      <c r="I62" s="22">
        <f t="shared" si="0"/>
        <v>0</v>
      </c>
      <c r="J62" s="23"/>
      <c r="K62" s="24">
        <f t="shared" si="1"/>
        <v>0</v>
      </c>
    </row>
    <row r="63" spans="1:11" ht="16" x14ac:dyDescent="0.3">
      <c r="A63" s="25">
        <v>55</v>
      </c>
      <c r="B63" s="58"/>
      <c r="C63" s="21"/>
      <c r="D63" s="15">
        <f>'Feb-25'!$G$66</f>
        <v>0</v>
      </c>
      <c r="E63" s="15">
        <f>'Mar-25'!$I$66</f>
        <v>0</v>
      </c>
      <c r="F63" s="21">
        <f>'Apr-25'!$I$66</f>
        <v>0</v>
      </c>
      <c r="G63" s="21">
        <f>'May-25'!$H$66</f>
        <v>0</v>
      </c>
      <c r="H63" s="21">
        <f>'June-25'!$H$66</f>
        <v>0</v>
      </c>
      <c r="I63" s="22">
        <f t="shared" si="0"/>
        <v>0</v>
      </c>
      <c r="J63" s="23"/>
      <c r="K63" s="24">
        <f t="shared" si="1"/>
        <v>0</v>
      </c>
    </row>
    <row r="64" spans="1:11" ht="16" x14ac:dyDescent="0.3">
      <c r="A64" s="25">
        <v>56</v>
      </c>
      <c r="B64" s="58"/>
      <c r="C64" s="21"/>
      <c r="D64" s="15">
        <f>'Feb-25'!$G$67</f>
        <v>0</v>
      </c>
      <c r="E64" s="15">
        <f>'Mar-25'!$I$67</f>
        <v>0</v>
      </c>
      <c r="F64" s="21">
        <f>'Apr-25'!$I$67</f>
        <v>0</v>
      </c>
      <c r="G64" s="21">
        <f>'May-25'!$H$67</f>
        <v>0</v>
      </c>
      <c r="H64" s="21">
        <f>'June-25'!$H$67</f>
        <v>0</v>
      </c>
      <c r="I64" s="22">
        <f t="shared" si="0"/>
        <v>0</v>
      </c>
      <c r="J64" s="23"/>
      <c r="K64" s="24">
        <f t="shared" si="1"/>
        <v>0</v>
      </c>
    </row>
    <row r="65" spans="1:18" ht="16" x14ac:dyDescent="0.3">
      <c r="A65" s="25">
        <v>57</v>
      </c>
      <c r="B65" s="58"/>
      <c r="C65" s="21"/>
      <c r="D65" s="15">
        <f>'Feb-25'!$G$68</f>
        <v>0</v>
      </c>
      <c r="E65" s="15">
        <f>'Mar-25'!$I$68</f>
        <v>0</v>
      </c>
      <c r="F65" s="21">
        <f>'Apr-25'!$I$68</f>
        <v>0</v>
      </c>
      <c r="G65" s="21">
        <f>'May-25'!$H$68</f>
        <v>0</v>
      </c>
      <c r="H65" s="21">
        <f>'June-25'!$H$68</f>
        <v>0</v>
      </c>
      <c r="I65" s="22">
        <f t="shared" si="0"/>
        <v>0</v>
      </c>
      <c r="J65" s="23"/>
      <c r="K65" s="24">
        <f t="shared" si="1"/>
        <v>0</v>
      </c>
    </row>
    <row r="66" spans="1:18" ht="16" x14ac:dyDescent="0.3">
      <c r="A66" s="25">
        <v>58</v>
      </c>
      <c r="B66" s="58"/>
      <c r="C66" s="21"/>
      <c r="D66" s="15">
        <f>'Feb-25'!$G$69</f>
        <v>0</v>
      </c>
      <c r="E66" s="15">
        <f>'Mar-25'!$I$69</f>
        <v>0</v>
      </c>
      <c r="F66" s="21">
        <f>'Apr-25'!$I$69</f>
        <v>0</v>
      </c>
      <c r="G66" s="21">
        <f>'May-25'!$H$69</f>
        <v>0</v>
      </c>
      <c r="H66" s="21">
        <f>'June-25'!$H$69</f>
        <v>0</v>
      </c>
      <c r="I66" s="22">
        <f t="shared" si="0"/>
        <v>0</v>
      </c>
      <c r="J66" s="23"/>
      <c r="K66" s="24">
        <f t="shared" si="1"/>
        <v>0</v>
      </c>
    </row>
    <row r="67" spans="1:18" ht="16" x14ac:dyDescent="0.3">
      <c r="A67" s="25">
        <v>59</v>
      </c>
      <c r="B67" s="58"/>
      <c r="C67" s="21"/>
      <c r="D67" s="15">
        <f>'Feb-25'!$G$70</f>
        <v>0</v>
      </c>
      <c r="E67" s="15">
        <f>'Mar-25'!$I$70</f>
        <v>0</v>
      </c>
      <c r="F67" s="21">
        <f>'Apr-25'!$I$70</f>
        <v>0</v>
      </c>
      <c r="G67" s="21">
        <f>'May-25'!$H$70</f>
        <v>0</v>
      </c>
      <c r="H67" s="21">
        <f>'June-25'!$H$70</f>
        <v>0</v>
      </c>
      <c r="I67" s="22">
        <f t="shared" si="0"/>
        <v>0</v>
      </c>
      <c r="J67" s="23"/>
      <c r="K67" s="24">
        <f t="shared" si="1"/>
        <v>0</v>
      </c>
    </row>
    <row r="68" spans="1:18" ht="15" customHeight="1" x14ac:dyDescent="0.3">
      <c r="A68" s="25">
        <v>60</v>
      </c>
      <c r="B68" s="58"/>
      <c r="C68" s="21"/>
      <c r="D68" s="15">
        <f>'Feb-25'!$G$71</f>
        <v>0</v>
      </c>
      <c r="E68" s="15">
        <f>'Mar-25'!$I$71</f>
        <v>0</v>
      </c>
      <c r="F68" s="21">
        <f>'Apr-25'!$I$71</f>
        <v>0</v>
      </c>
      <c r="G68" s="21">
        <f>'May-25'!$H$71</f>
        <v>0</v>
      </c>
      <c r="H68" s="21">
        <f>'June-25'!$H$71</f>
        <v>0</v>
      </c>
      <c r="I68" s="22">
        <f t="shared" si="0"/>
        <v>0</v>
      </c>
      <c r="J68" s="23"/>
      <c r="K68" s="24">
        <f t="shared" si="1"/>
        <v>0</v>
      </c>
    </row>
    <row r="69" spans="1:18" x14ac:dyDescent="0.25">
      <c r="B69" s="11"/>
      <c r="C69" s="32"/>
      <c r="D69" s="32"/>
      <c r="E69" s="32"/>
      <c r="F69" s="32"/>
      <c r="G69" s="32"/>
      <c r="H69" s="32"/>
      <c r="I69" s="33"/>
      <c r="J69" s="33"/>
      <c r="K69" s="33"/>
      <c r="L69" s="33"/>
      <c r="M69" s="34"/>
    </row>
    <row r="70" spans="1:18" x14ac:dyDescent="0.25">
      <c r="B70" s="11"/>
      <c r="C70" s="6" t="s">
        <v>6</v>
      </c>
      <c r="D70" s="6"/>
      <c r="E70" s="7"/>
      <c r="F70" s="7"/>
      <c r="G70" s="7"/>
      <c r="H70" s="7"/>
      <c r="I70" s="10"/>
      <c r="J70" s="10"/>
      <c r="K70" s="11"/>
      <c r="L70" s="11"/>
      <c r="M70" s="11"/>
    </row>
    <row r="71" spans="1:18" x14ac:dyDescent="0.25">
      <c r="B71" s="11"/>
      <c r="C71" s="107" t="s">
        <v>9</v>
      </c>
      <c r="D71" s="107"/>
      <c r="E71" s="107"/>
      <c r="F71" s="5"/>
      <c r="G71" s="5"/>
      <c r="H71" s="5"/>
      <c r="I71" s="10"/>
      <c r="J71" s="10"/>
      <c r="K71" s="11"/>
      <c r="L71" s="11"/>
      <c r="M71" s="11"/>
    </row>
    <row r="72" spans="1:18" ht="15.5" x14ac:dyDescent="0.25">
      <c r="B72" s="11"/>
      <c r="C72" s="5" t="s">
        <v>10</v>
      </c>
      <c r="D72" s="5"/>
      <c r="E72" s="5"/>
      <c r="F72" s="5"/>
      <c r="G72" s="5"/>
      <c r="H72" s="5"/>
      <c r="I72" s="10"/>
      <c r="J72" s="10"/>
      <c r="K72" s="108"/>
      <c r="L72" s="109"/>
      <c r="M72" s="109"/>
      <c r="N72" s="109"/>
      <c r="O72" s="109"/>
      <c r="P72" s="109"/>
      <c r="Q72" s="109"/>
      <c r="R72" s="109"/>
    </row>
    <row r="73" spans="1:18" ht="13" x14ac:dyDescent="0.25">
      <c r="K73" s="32"/>
      <c r="L73" s="32"/>
      <c r="M73" s="32"/>
      <c r="N73" s="35"/>
      <c r="O73" s="33"/>
      <c r="P73" s="33"/>
      <c r="Q73" s="33"/>
      <c r="R73" s="34"/>
    </row>
    <row r="74" spans="1:18" x14ac:dyDescent="0.25">
      <c r="K74" s="6"/>
      <c r="L74" s="7"/>
      <c r="M74" s="7"/>
      <c r="N74" s="11"/>
      <c r="O74" s="10"/>
      <c r="P74" s="11"/>
      <c r="Q74" s="11"/>
      <c r="R74" s="11"/>
    </row>
    <row r="75" spans="1:18" x14ac:dyDescent="0.25">
      <c r="K75" s="107"/>
      <c r="L75" s="107"/>
      <c r="M75" s="107"/>
      <c r="N75" s="107"/>
      <c r="O75" s="10"/>
      <c r="P75" s="11"/>
      <c r="Q75" s="11"/>
      <c r="R75" s="11"/>
    </row>
    <row r="76" spans="1:18" x14ac:dyDescent="0.25">
      <c r="K76" s="5"/>
      <c r="L76" s="5"/>
      <c r="M76" s="5"/>
      <c r="N76" s="5"/>
      <c r="O76" s="10"/>
      <c r="P76" s="11"/>
      <c r="Q76" s="11"/>
      <c r="R76" s="11"/>
    </row>
    <row r="77" spans="1:18" x14ac:dyDescent="0.25">
      <c r="K77" s="1"/>
      <c r="L77" s="1"/>
      <c r="N77" s="10"/>
    </row>
  </sheetData>
  <mergeCells count="115">
    <mergeCell ref="AB24:AC24"/>
    <mergeCell ref="C71:E71"/>
    <mergeCell ref="K72:R72"/>
    <mergeCell ref="K75:N75"/>
    <mergeCell ref="A7:A8"/>
    <mergeCell ref="AA21:AA22"/>
    <mergeCell ref="AB21:AC21"/>
    <mergeCell ref="M22:N22"/>
    <mergeCell ref="AB22:AC22"/>
    <mergeCell ref="M23:N23"/>
    <mergeCell ref="X23:X24"/>
    <mergeCell ref="Y23:Y24"/>
    <mergeCell ref="Z23:Z24"/>
    <mergeCell ref="AA23:AA24"/>
    <mergeCell ref="AB23:AC23"/>
    <mergeCell ref="U21:U22"/>
    <mergeCell ref="V21:V22"/>
    <mergeCell ref="W21:W22"/>
    <mergeCell ref="X21:X22"/>
    <mergeCell ref="Y21:Y22"/>
    <mergeCell ref="Z21:Z22"/>
    <mergeCell ref="AA19:AA20"/>
    <mergeCell ref="AB19:AC19"/>
    <mergeCell ref="M20:N20"/>
    <mergeCell ref="AB20:AC20"/>
    <mergeCell ref="M21:N21"/>
    <mergeCell ref="O21:O22"/>
    <mergeCell ref="P21:P22"/>
    <mergeCell ref="Q21:R22"/>
    <mergeCell ref="S21:S22"/>
    <mergeCell ref="T21:T22"/>
    <mergeCell ref="U19:U20"/>
    <mergeCell ref="V19:V20"/>
    <mergeCell ref="W19:W20"/>
    <mergeCell ref="X19:X20"/>
    <mergeCell ref="Y19:Y20"/>
    <mergeCell ref="Z19:Z20"/>
    <mergeCell ref="M19:N19"/>
    <mergeCell ref="O19:O20"/>
    <mergeCell ref="P19:P20"/>
    <mergeCell ref="Q19:R20"/>
    <mergeCell ref="S19:S20"/>
    <mergeCell ref="T19:T20"/>
    <mergeCell ref="U17:U18"/>
    <mergeCell ref="V17:V18"/>
    <mergeCell ref="W17:W18"/>
    <mergeCell ref="M16:N16"/>
    <mergeCell ref="AB16:AC16"/>
    <mergeCell ref="M17:N17"/>
    <mergeCell ref="O17:O18"/>
    <mergeCell ref="P17:P18"/>
    <mergeCell ref="Q17:R18"/>
    <mergeCell ref="S17:S18"/>
    <mergeCell ref="T17:T18"/>
    <mergeCell ref="U15:U16"/>
    <mergeCell ref="V15:V16"/>
    <mergeCell ref="W15:W16"/>
    <mergeCell ref="X15:X16"/>
    <mergeCell ref="Y15:Y16"/>
    <mergeCell ref="Z15:Z16"/>
    <mergeCell ref="AA17:AA18"/>
    <mergeCell ref="AB17:AC17"/>
    <mergeCell ref="M18:N18"/>
    <mergeCell ref="AB18:AC18"/>
    <mergeCell ref="X17:X18"/>
    <mergeCell ref="Y17:Y18"/>
    <mergeCell ref="Z17:Z18"/>
    <mergeCell ref="AA13:AA14"/>
    <mergeCell ref="AB13:AC13"/>
    <mergeCell ref="M14:N14"/>
    <mergeCell ref="AB14:AC14"/>
    <mergeCell ref="M15:N15"/>
    <mergeCell ref="O15:O16"/>
    <mergeCell ref="P15:P16"/>
    <mergeCell ref="Q15:R16"/>
    <mergeCell ref="S15:S16"/>
    <mergeCell ref="T15:T16"/>
    <mergeCell ref="U13:U14"/>
    <mergeCell ref="V13:V14"/>
    <mergeCell ref="W13:W14"/>
    <mergeCell ref="X13:X14"/>
    <mergeCell ref="Y13:Y14"/>
    <mergeCell ref="Z13:Z14"/>
    <mergeCell ref="M13:N13"/>
    <mergeCell ref="O13:O14"/>
    <mergeCell ref="P13:P14"/>
    <mergeCell ref="Q13:R14"/>
    <mergeCell ref="S13:S14"/>
    <mergeCell ref="T13:T14"/>
    <mergeCell ref="AA15:AA16"/>
    <mergeCell ref="AB15:AC15"/>
    <mergeCell ref="O11:P11"/>
    <mergeCell ref="AB11:AC11"/>
    <mergeCell ref="AB12:AC12"/>
    <mergeCell ref="B7:B8"/>
    <mergeCell ref="C7:C8"/>
    <mergeCell ref="O7:AC8"/>
    <mergeCell ref="M9:N9"/>
    <mergeCell ref="O9:AC9"/>
    <mergeCell ref="M10:N12"/>
    <mergeCell ref="O10:P10"/>
    <mergeCell ref="Q10:R12"/>
    <mergeCell ref="S10:T10"/>
    <mergeCell ref="U10:V10"/>
    <mergeCell ref="A1:L1"/>
    <mergeCell ref="P1:AD2"/>
    <mergeCell ref="A2:L2"/>
    <mergeCell ref="A3:L3"/>
    <mergeCell ref="P3:AD6"/>
    <mergeCell ref="A4:L4"/>
    <mergeCell ref="A5:L5"/>
    <mergeCell ref="A6:L6"/>
    <mergeCell ref="W10:X10"/>
    <mergeCell ref="Y10:Z10"/>
    <mergeCell ref="AB10:AC10"/>
  </mergeCells>
  <conditionalFormatting sqref="K8:K68">
    <cfRule type="cellIs" dxfId="2" priority="1" operator="lessThan">
      <formula>64</formula>
    </cfRule>
    <cfRule type="cellIs" dxfId="1" priority="2" operator="between">
      <formula>65</formula>
      <formula>74</formula>
    </cfRule>
    <cfRule type="cellIs" dxfId="0" priority="3" operator="greaterThan">
      <formula>75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Feb-25</vt:lpstr>
      <vt:lpstr>Mar-25</vt:lpstr>
      <vt:lpstr>Apr-25</vt:lpstr>
      <vt:lpstr>May-25</vt:lpstr>
      <vt:lpstr>June-25</vt:lpstr>
      <vt:lpstr>Overall</vt:lpstr>
      <vt:lpstr>'Apr-25'!Print_Area</vt:lpstr>
      <vt:lpstr>'Feb-25'!Print_Area</vt:lpstr>
      <vt:lpstr>'June-25'!Print_Area</vt:lpstr>
      <vt:lpstr>'Mar-25'!Print_Area</vt:lpstr>
      <vt:lpstr>'May-25'!Print_Area</vt:lpstr>
    </vt:vector>
  </TitlesOfParts>
  <Company>CED BUET Khuzdar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Hidayatullah Shahwani</dc:creator>
  <cp:lastModifiedBy>Hp</cp:lastModifiedBy>
  <cp:lastPrinted>2025-05-13T04:37:01Z</cp:lastPrinted>
  <dcterms:created xsi:type="dcterms:W3CDTF">2008-05-21T07:32:55Z</dcterms:created>
  <dcterms:modified xsi:type="dcterms:W3CDTF">2025-05-13T08:27:19Z</dcterms:modified>
</cp:coreProperties>
</file>